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30415f8f3747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16bec06ca104db8"/>
    <x:sheet xmlns:r="http://schemas.openxmlformats.org/officeDocument/2006/relationships" name="Milestones" sheetId="2" r:id="Rc1f194271f354126"/>
    <x:sheet xmlns:r="http://schemas.openxmlformats.org/officeDocument/2006/relationships" name="Backlog" sheetId="3" r:id="R2e081ed7d8714331"/>
    <x:sheet xmlns:r="http://schemas.openxmlformats.org/officeDocument/2006/relationships" name="Weekly Metrics" sheetId="4" r:id="R108f73ea6d544202"/>
    <x:sheet xmlns:r="http://schemas.openxmlformats.org/officeDocument/2006/relationships" name="Interview Log" sheetId="5" r:id="Rce1597febe1941c7"/>
    <x:sheet xmlns:r="http://schemas.openxmlformats.org/officeDocument/2006/relationships" name="Alpha Testers" sheetId="6" r:id="Rcb66af903e6b48cf"/>
    <x:sheet xmlns:r="http://schemas.openxmlformats.org/officeDocument/2006/relationships" name="Risk Register" sheetId="7" r:id="Rb20e374b955341a4"/>
    <x:sheet xmlns:r="http://schemas.openxmlformats.org/officeDocument/2006/relationships" name="Decision Log" sheetId="8" r:id="Raa1eece104c54389"/>
    <x:sheet xmlns:r="http://schemas.openxmlformats.org/officeDocument/2006/relationships" name="Competitors" sheetId="9" r:id="R57f472518f91450a"/>
    <x:sheet xmlns:r="http://schemas.openxmlformats.org/officeDocument/2006/relationships" name="Definitions" sheetId="10" r:id="Rd974943bb65e43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$#,##0.00"/>
  </x:numFmts>
  <x:fonts count="10">
    <x:font>
      <x:sz val="11"/>
      <x:name val="Carlito"/>
    </x:font>
    <x:font>
      <x:b/>
      <x:sz val="18"/>
      <x:color rgb="FFFFFFFF"/>
      <x:name val="Carlito"/>
    </x:font>
    <x:font>
      <x:sz val="10"/>
      <x:color rgb="FF5B6B7D"/>
      <x:name val="Carlito"/>
    </x:font>
    <x:font>
      <x:b/>
      <x:sz val="18"/>
      <x:color rgb="FFFFFFFF"/>
      <x:name val="Aptos"/>
    </x:font>
    <x:font>
      <x:sz val="10"/>
      <x:color rgb="FF5B6B7D"/>
      <x:name val="Aptos"/>
    </x:font>
    <x:font>
      <x:sz val="11"/>
      <x:name val="Aptos"/>
    </x:font>
    <x:font>
      <x:b/>
      <x:sz val="10"/>
      <x:color rgb="FFFFFFFF"/>
      <x:name val="Aptos"/>
    </x:font>
    <x:font>
      <x:b/>
      <x:sz val="11"/>
      <x:name val="Aptos"/>
    </x:font>
    <x:font>
      <x:b/>
      <x:sz val="11"/>
      <x:color rgb="FFFFFFFF"/>
      <x:name val="Aptos"/>
    </x:font>
    <x:font>
      <x:sz val="11"/>
      <x:color rgb="FF5B6B7D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A"/>
      </x:patternFill>
    </x:fill>
    <x:fill>
      <x:patternFill patternType="solid">
        <x:fgColor rgb="FFEAF3F6"/>
      </x:patternFill>
    </x:fill>
    <x:fill>
      <x:patternFill patternType="solid">
        <x:fgColor rgb="FF087E8B"/>
      </x:patternFill>
    </x:fill>
    <x:fill>
      <x:patternFill patternType="solid">
        <x:fgColor rgb="FFEFF7FB"/>
      </x:patternFill>
    </x:fill>
    <x:fill>
      <x:patternFill patternType="solid">
        <x:fgColor rgb="FFFFF4DA"/>
      </x:patternFill>
    </x:fill>
    <x:fill>
      <x:patternFill patternType="solid">
        <x:fgColor rgb="FFFFF9EA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/>
    <x:xf numFmtId="0" fontId="5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/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0" fontId="5" fillId="5" borderId="1" xfId="0" applyNumberFormat="1" applyFont="1" applyFill="1" applyBorder="1"/>
    <x:xf numFmtId="200" fontId="5" fillId="5" borderId="1" xfId="0" applyNumberFormat="1" applyFont="1" applyFill="1" applyBorder="1"/>
    <x:xf numFmtId="201" fontId="5" fillId="5" borderId="1" xfId="0" applyNumberFormat="1" applyFont="1" applyFill="1" applyBorder="1"/>
    <x:xf numFmtId="0" fontId="5" fillId="6" borderId="0" xfId="0" applyNumberFormat="1" applyFont="1" applyFill="1" applyBorder="1"/>
    <x:xf numFmtId="200" fontId="5" fillId="6" borderId="0" xfId="0" applyNumberFormat="1" applyFont="1" applyFill="1" applyBorder="1"/>
    <x:xf numFmtId="0" fontId="5" fillId="6" borderId="1" xfId="0" applyNumberFormat="1" applyFont="1" applyFill="1" applyBorder="1"/>
    <x:xf numFmtId="200" fontId="5" fillId="6" borderId="1" xfId="0" applyNumberFormat="1" applyFont="1" applyFill="1" applyBorder="1"/>
    <x:xf numFmtId="0" fontId="5" fillId="2" borderId="0" xfId="0" applyNumberFormat="1" applyFont="1" applyFill="1" applyBorder="1"/>
    <x:xf numFmtId="0" fontId="8" fillId="2" borderId="0" xfId="0" applyNumberFormat="1" applyFont="1" applyFill="1" applyBorder="1"/>
    <x:xf numFmtId="0" fontId="5" fillId="2" borderId="1" xfId="0" applyNumberFormat="1" applyFont="1" applyFill="1" applyBorder="1"/>
    <x:xf numFmtId="0" fontId="8" fillId="2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201" fontId="5" fillId="7" borderId="0" xfId="0" applyNumberFormat="1" applyFont="1" applyFill="1" applyBorder="1"/>
    <x:xf numFmtId="201" fontId="5" fillId="7" borderId="1" xfId="0" applyNumberFormat="1" applyFont="1" applyFill="1" applyBorder="1"/>
    <x:xf numFmtId="0" fontId="5" fillId="3" borderId="0" xfId="0" applyNumberFormat="1" applyFont="1" applyFill="1" applyBorder="1"/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8">
    <x:dxf>
      <x:font>
        <x:color rgb="FF116149"/>
      </x:font>
      <x:fill>
        <x:patternFill patternType="solid">
          <x:bgColor rgb="FFE7F5EE"/>
        </x:patternFill>
      </x:fill>
    </x:dxf>
    <x:dxf>
      <x:font>
        <x:color rgb="FFB42318"/>
      </x:font>
      <x:fill>
        <x:patternFill patternType="solid">
          <x:bgColor rgb="FFFCEBE8"/>
        </x:patternFill>
      </x:fill>
    </x:dxf>
    <x:dxf>
      <x:fill>
        <x:patternFill patternType="solid">
          <x:bgColor rgb="FFE7F5EE"/>
        </x:patternFill>
      </x:fill>
    </x:dxf>
    <x:dxf>
      <x:fill>
        <x:patternFill patternType="solid">
          <x:bgColor rgb="FFFCEBE8"/>
        </x:patternFill>
      </x:fill>
    </x:dxf>
    <x:dxf>
      <x:fill>
        <x:patternFill patternType="solid">
          <x:bgColor rgb="FFE7F5EE"/>
        </x:patternFill>
      </x:fill>
    </x:dxf>
    <x:dxf>
      <x:fill>
        <x:patternFill patternType="solid">
          <x:bgColor rgb="FFFCEBE8"/>
        </x:patternFill>
      </x:fill>
    </x:dxf>
    <x:dxf>
      <x:font>
        <x:color rgb="FFB42318"/>
      </x:font>
      <x:fill>
        <x:patternFill patternType="solid">
          <x:bgColor rgb="FFFCEBE8"/>
        </x:patternFill>
      </x:fill>
    </x:dxf>
    <x:dxf>
      <x:font>
        <x:color rgb="FF92400E"/>
      </x:font>
      <x:fill>
        <x:patternFill patternType="solid">
          <x:bgColor rgb="FFFFF4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390c28cda74be1" /><Relationship Type="http://schemas.openxmlformats.org/officeDocument/2006/relationships/theme" Target="/xl/theme/theme1.xml" Id="R24c23f59a2c94b30" /><Relationship Type="http://schemas.openxmlformats.org/officeDocument/2006/relationships/sharedStrings" Target="/xl/sharedStrings.xml" Id="Rbbfdfd6f0e814591" /><Relationship Type="http://schemas.openxmlformats.org/officeDocument/2006/relationships/worksheet" Target="/xl/worksheets/sheet1.xml" Id="Rd16bec06ca104db8" /><Relationship Type="http://schemas.openxmlformats.org/officeDocument/2006/relationships/worksheet" Target="/xl/worksheets/sheet2.xml" Id="Rc1f194271f354126" /><Relationship Type="http://schemas.openxmlformats.org/officeDocument/2006/relationships/worksheet" Target="/xl/worksheets/sheet3.xml" Id="R2e081ed7d8714331" /><Relationship Type="http://schemas.openxmlformats.org/officeDocument/2006/relationships/worksheet" Target="/xl/worksheets/sheet4.xml" Id="R108f73ea6d544202" /><Relationship Type="http://schemas.openxmlformats.org/officeDocument/2006/relationships/worksheet" Target="/xl/worksheets/sheet5.xml" Id="Rce1597febe1941c7" /><Relationship Type="http://schemas.openxmlformats.org/officeDocument/2006/relationships/worksheet" Target="/xl/worksheets/sheet6.xml" Id="Rcb66af903e6b48cf" /><Relationship Type="http://schemas.openxmlformats.org/officeDocument/2006/relationships/worksheet" Target="/xl/worksheets/sheet7.xml" Id="Rb20e374b955341a4" /><Relationship Type="http://schemas.openxmlformats.org/officeDocument/2006/relationships/worksheet" Target="/xl/worksheets/sheet8.xml" Id="Raa1eece104c54389" /><Relationship Type="http://schemas.openxmlformats.org/officeDocument/2006/relationships/worksheet" Target="/xl/worksheets/sheet9.xml" Id="R57f472518f91450a" /><Relationship Type="http://schemas.openxmlformats.org/officeDocument/2006/relationships/worksheet" Target="/xl/worksheets/sheet10.xml" Id="Rd974943bb65e430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6" hidden="0" customWidth="1"/>
    <x:col min="2" max="2" width="17" hidden="0" customWidth="1"/>
    <x:col min="3" max="3" width="16" hidden="0" customWidth="1"/>
    <x:col min="4" max="4" width="17" hidden="0" customWidth="1"/>
    <x:col min="5" max="5" width="22" hidden="0" customWidth="1"/>
    <x:col min="6" max="6" width="53" hidden="0" customWidth="1"/>
  </x:cols>
  <x:sheetData>
    <x:row r="1" ht="39" customHeight="1">
      <x:c r="A1" s="16" t="str">
        <x:v>GUARDIAN  /  EXECUTION SCORECARD</x:v>
      </x:c>
      <x:c r="B1" s="16"/>
      <x:c r="C1" s="16"/>
      <x:c r="D1" s="16"/>
      <x:c r="E1" s="16"/>
      <x:c r="F1" s="16"/>
    </x:row>
    <x:row r="2" ht="31" customHeight="1">
      <x:c r="A2" s="17" t="str">
        <x:v>Pilot: Oct 19 – Nov 29, 2026   •   Enter actual evidence in the supporting sheets; targets are hypotheses, not forecasts.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25" t="str">
        <x:v>KPI</x:v>
      </x:c>
      <x:c r="B4" s="25" t="str">
        <x:v>Actual</x:v>
      </x:c>
      <x:c r="C4" s="25" t="str">
        <x:v>G6 target</x:v>
      </x:c>
      <x:c r="D4" s="25" t="str">
        <x:v>Gate result</x:v>
      </x:c>
      <x:c r="E4" s="25" t="str">
        <x:v>Source</x:v>
      </x:c>
      <x:c r="F4" s="25" t="str">
        <x:v>Interpretation</x:v>
      </x:c>
    </x:row>
    <x:row r="5" ht="26" customHeight="1">
      <x:c r="A5" s="34" t="str">
        <x:v>Qualified interviews</x:v>
      </x:c>
      <x:c r="B5" s="36" t="n">
        <x:f>COUNTIF('Interview Log'!D5:D40,"Yes")</x:f>
        <x:v>0</x:v>
      </x:c>
      <x:c r="C5" s="42" t="n">
        <x:v>8</x:v>
      </x:c>
      <x:c r="D5" s="18" t="str">
        <x:f>IF(B5&gt;=C5,"PASS","BELOW")</x:f>
        <x:v>BELOW</x:v>
      </x:c>
      <x:c r="E5" s="18" t="str">
        <x:v>Interview Log</x:v>
      </x:c>
      <x:c r="F5" s="18" t="str">
        <x:v>Developers using 2+ coding sessions recently</x:v>
      </x:c>
    </x:row>
    <x:row r="6" ht="26" customHeight="1">
      <x:c r="A6" s="34" t="str">
        <x:v>Recent pain validated</x:v>
      </x:c>
      <x:c r="B6" s="36" t="n">
        <x:f>COUNTIFS('Interview Log'!D5:D40,"Yes",'Interview Log'!E5:E40,"Yes")</x:f>
        <x:v>0</x:v>
      </x:c>
      <x:c r="C6" s="42" t="n">
        <x:v>5</x:v>
      </x:c>
      <x:c r="D6" s="18" t="str">
        <x:f>IF(B6&gt;=C6,"PASS","BELOW")</x:f>
        <x:v>BELOW</x:v>
      </x:c>
      <x:c r="E6" s="18" t="str">
        <x:v>Interview Log</x:v>
      </x:c>
      <x:c r="F6" s="18" t="str">
        <x:v>Specific coordination incident within 30 days</x:v>
      </x:c>
    </x:row>
    <x:row r="7" ht="26" customHeight="1">
      <x:c r="A7" s="34" t="str">
        <x:v>Alpha testers completed</x:v>
      </x:c>
      <x:c r="B7" s="36" t="n">
        <x:f>COUNTIF('Alpha Testers'!E5:E30,"Yes")</x:f>
        <x:v>0</x:v>
      </x:c>
      <x:c r="C7" s="42" t="n">
        <x:v>4</x:v>
      </x:c>
      <x:c r="D7" s="18" t="str">
        <x:f>IF(B7&gt;=C7,"PASS","BELOW")</x:f>
        <x:v>BELOW</x:v>
      </x:c>
      <x:c r="E7" s="18" t="str">
        <x:v>Alpha Testers</x:v>
      </x:c>
      <x:c r="F7" s="18" t="str">
        <x:v>4 of 5 target testers finish guided workflow</x:v>
      </x:c>
    </x:row>
    <x:row r="8" ht="26" customHeight="1">
      <x:c r="A8" s="34" t="str">
        <x:v>Verified unique installs</x:v>
      </x:c>
      <x:c r="B8" s="36" t="n">
        <x:f>SUM('Weekly Metrics'!F5:F10)</x:f>
        <x:v>0</x:v>
      </x:c>
      <x:c r="C8" s="42" t="n">
        <x:v>50</x:v>
      </x:c>
      <x:c r="D8" s="18" t="str">
        <x:f>IF(B8&gt;=C8,"PASS","BELOW")</x:f>
        <x:v>BELOW</x:v>
      </x:c>
      <x:c r="E8" s="18" t="str">
        <x:v>Weekly Metrics</x:v>
      </x:c>
      <x:c r="F8" s="18" t="str">
        <x:v>Unique first-time installs, not download count</x:v>
      </x:c>
    </x:row>
    <x:row r="9" ht="26" customHeight="1">
      <x:c r="A9" s="34" t="str">
        <x:v>Activated users</x:v>
      </x:c>
      <x:c r="B9" s="36" t="n">
        <x:f>SUM('Weekly Metrics'!G5:G10)</x:f>
        <x:v>0</x:v>
      </x:c>
      <x:c r="C9" s="42" t="n">
        <x:v>15</x:v>
      </x:c>
      <x:c r="D9" s="18" t="str">
        <x:f>IF(B9&gt;=C9,"PASS","BELOW")</x:f>
        <x:v>BELOW</x:v>
      </x:c>
      <x:c r="E9" s="18" t="str">
        <x:v>Weekly Metrics</x:v>
      </x:c>
      <x:c r="F9" s="18" t="str">
        <x:v>Generated a risk report successfully</x:v>
      </x:c>
    </x:row>
    <x:row r="10" ht="26" customHeight="1">
      <x:c r="A10" s="34" t="str">
        <x:v>Repeat users</x:v>
      </x:c>
      <x:c r="B10" s="36" t="n">
        <x:f>SUM('Weekly Metrics'!H5:H10)</x:f>
        <x:v>0</x:v>
      </x:c>
      <x:c r="C10" s="42" t="n">
        <x:v>8</x:v>
      </x:c>
      <x:c r="D10" s="18" t="str">
        <x:f>IF(B10&gt;=C10,"PASS","BELOW")</x:f>
        <x:v>BELOW</x:v>
      </x:c>
      <x:c r="E10" s="18" t="str">
        <x:v>Weekly Metrics</x:v>
      </x:c>
      <x:c r="F10" s="18" t="str">
        <x:v>Used on a separate day/session; count once</x:v>
      </x:c>
    </x:row>
    <x:row r="11" ht="26" customHeight="1">
      <x:c r="A11" s="34" t="str">
        <x:v>Paying customers</x:v>
      </x:c>
      <x:c r="B11" s="36" t="n">
        <x:f>SUM('Weekly Metrics'!I5:I10)</x:f>
        <x:v>0</x:v>
      </x:c>
      <x:c r="C11" s="42" t="n">
        <x:v>3</x:v>
      </x:c>
      <x:c r="D11" s="18" t="str">
        <x:f>IF(B11&gt;=C11,"PASS","BELOW")</x:f>
        <x:v>BELOW</x:v>
      </x:c>
      <x:c r="E11" s="18" t="str">
        <x:v>Weekly Metrics</x:v>
      </x:c>
      <x:c r="F11" s="18" t="str">
        <x:v>Genuine customers; refunds excluded</x:v>
      </x:c>
    </x:row>
    <x:row r="12" ht="26" customHeight="1">
      <x:c r="A12" s="34" t="str">
        <x:v>Critical safety incidents</x:v>
      </x:c>
      <x:c r="B12" s="36" t="n">
        <x:f>SUM('Weekly Metrics'!M5:M10)</x:f>
        <x:v>0</x:v>
      </x:c>
      <x:c r="C12" s="42" t="n">
        <x:v>0</x:v>
      </x:c>
      <x:c r="D12" s="18" t="str">
        <x:f>IF(COUNT('Weekly Metrics'!M5:M10)=0,"NOT REPORTED",IF(B12=0,"PASS","FAIL"))</x:f>
        <x:v>NOT REPORTED</x:v>
      </x:c>
      <x:c r="E12" s="18" t="str">
        <x:v>Weekly Metrics</x:v>
      </x:c>
      <x:c r="F12" s="18" t="str">
        <x:v>Zero tolerated</x:v>
      </x:c>
    </x:row>
    <x:row r="13" ht="26" customHeight="1">
      <x:c r="A13" s="34" t="str">
        <x:v>Activation rate</x:v>
      </x:c>
      <x:c r="B13" s="37" t="n">
        <x:f>IFERROR(B9/B8,0)</x:f>
        <x:v>0</x:v>
      </x:c>
      <x:c r="C13" s="43" t="n">
        <x:v>0.3</x:v>
      </x:c>
      <x:c r="D13" s="18" t="str">
        <x:f>IF(B13&gt;=C13,"PASS","BELOW")</x:f>
        <x:v>BELOW</x:v>
      </x:c>
      <x:c r="E13" s="18" t="str">
        <x:v>Calculated</x:v>
      </x:c>
      <x:c r="F13" s="18" t="str">
        <x:v>Target heuristic: 30%+ of installs</x:v>
      </x:c>
    </x:row>
    <x:row r="14" ht="26" customHeight="1">
      <x:c r="A14" s="34" t="str">
        <x:v>Repeat rate</x:v>
      </x:c>
      <x:c r="B14" s="37" t="n">
        <x:f>IFERROR(B10/B9,0)</x:f>
        <x:v>0</x:v>
      </x:c>
      <x:c r="C14" s="43" t="n">
        <x:v>0.5</x:v>
      </x:c>
      <x:c r="D14" s="18" t="str">
        <x:f>IF(B14&gt;=C14,"PASS","BELOW")</x:f>
        <x:v>BELOW</x:v>
      </x:c>
      <x:c r="E14" s="18" t="str">
        <x:v>Calculated</x:v>
      </x:c>
      <x:c r="F14" s="18" t="str">
        <x:v>Target heuristic: 50%+ of activated</x:v>
      </x:c>
    </x:row>
    <x:row r="15" ht="26" customHeight="1">
      <x:c r="A15" s="34" t="str">
        <x:v>Paid conversion of activated</x:v>
      </x:c>
      <x:c r="B15" s="37" t="n">
        <x:f>IFERROR(B11/B9,0)</x:f>
        <x:v>0</x:v>
      </x:c>
      <x:c r="C15" s="43" t="n">
        <x:v>0.2</x:v>
      </x:c>
      <x:c r="D15" s="18" t="str">
        <x:f>IF(B15&gt;=C15,"PASS","BELOW")</x:f>
        <x:v>BELOW</x:v>
      </x:c>
      <x:c r="E15" s="18" t="str">
        <x:v>Calculated</x:v>
      </x:c>
      <x:c r="F15" s="18" t="str">
        <x:v>Target heuristic: 20%+ of activated</x:v>
      </x:c>
    </x:row>
    <x:row r="16" ht="26" customHeight="1">
      <x:c r="A16" s="34" t="str">
        <x:v>Gross revenue (USD)</x:v>
      </x:c>
      <x:c r="B16" s="38" t="n">
        <x:f>SUM('Weekly Metrics'!J5:J10)</x:f>
        <x:v>0</x:v>
      </x:c>
      <x:c r="C16" s="32"/>
      <x:c r="D16" s="18"/>
      <x:c r="E16" s="18" t="str">
        <x:v>Weekly Metrics</x:v>
      </x:c>
      <x:c r="F16" s="18" t="str">
        <x:v>Collected gross; not profit</x:v>
      </x:c>
    </x:row>
    <x:row r="17" ht="26" customHeight="1">
      <x:c r="A17" s="34" t="str">
        <x:v>Net receipts (USD)</x:v>
      </x:c>
      <x:c r="B17" s="38" t="n">
        <x:f>B16-SUM('Weekly Metrics'!K5:K10)-SUM('Weekly Metrics'!L5:L10)</x:f>
        <x:v>0</x:v>
      </x:c>
      <x:c r="C17" s="32"/>
      <x:c r="D17" s="18"/>
      <x:c r="E17" s="18" t="str">
        <x:v>Weekly Metrics</x:v>
      </x:c>
      <x:c r="F17" s="18" t="str">
        <x:v>Gross less refunds and payment fees</x:v>
      </x:c>
    </x:row>
    <x:row r="18">
      <x:c r="A18" s="18"/>
      <x:c r="B18" s="18"/>
      <x:c r="C18" s="18"/>
      <x:c r="D18" s="18"/>
      <x:c r="E18" s="18"/>
      <x:c r="F18" s="18"/>
    </x:row>
    <x:row r="19" ht="29" customHeight="1">
      <x:c r="A19" s="47" t="str">
        <x:v>READOUT / HOW TO USE</x:v>
      </x:c>
      <x:c r="B19" s="47"/>
      <x:c r="C19" s="47"/>
      <x:c r="D19" s="47"/>
      <x:c r="E19" s="47"/>
      <x:c r="F19" s="47"/>
    </x:row>
    <x:row r="20" ht="25" customHeight="1">
      <x:c r="A20" s="18" t="str">
        <x:v>1. Set weekly actuals and evidence; never populate metrics with aspirational numbers.</x:v>
      </x:c>
      <x:c r="B20" s="18"/>
      <x:c r="C20" s="18"/>
      <x:c r="D20" s="18"/>
      <x:c r="E20" s="18"/>
      <x:c r="F20" s="18"/>
    </x:row>
    <x:row r="21" ht="25" customHeight="1">
      <x:c r="A21" s="18" t="str">
        <x:v>2. Update milestone gate status only after collecting evidence and reviewing pass criteria.</x:v>
      </x:c>
      <x:c r="B21" s="18"/>
      <x:c r="C21" s="18"/>
      <x:c r="D21" s="18"/>
      <x:c r="E21" s="18"/>
      <x:c r="F21" s="18"/>
    </x:row>
    <x:row r="22" ht="25" customHeight="1">
      <x:c r="A22" s="18" t="str">
        <x:v>3. Interview results are counted from Interview Log; alpha completion from Alpha Testers.</x:v>
      </x:c>
      <x:c r="B22" s="18"/>
      <x:c r="C22" s="18"/>
      <x:c r="D22" s="18"/>
      <x:c r="E22" s="18"/>
      <x:c r="F22" s="18"/>
    </x:row>
    <x:row r="23" ht="25" customHeight="1">
      <x:c r="A23" s="18" t="str">
        <x:v>4. Distinct user counts must be deduplicated across weeks; opt-in/self-reported is acceptable.</x:v>
      </x:c>
      <x:c r="B23" s="18"/>
      <x:c r="C23" s="18"/>
      <x:c r="D23" s="18"/>
      <x:c r="E23" s="18"/>
      <x:c r="F23" s="18"/>
    </x:row>
    <x:row r="24" ht="25" customHeight="1">
      <x:c r="A24" s="18" t="str">
        <x:v>5. Safety incident &gt;0 blocks public rollout regardless of other KPIs.</x:v>
      </x:c>
      <x:c r="B24" s="18"/>
      <x:c r="C24" s="18"/>
      <x:c r="D24" s="18"/>
      <x:c r="E24" s="18"/>
      <x:c r="F24" s="18"/>
    </x:row>
    <x:row r="25" ht="25" customHeight="1">
      <x:c r="A25" s="18" t="str">
        <x:v>6. At G6 choose Scale / Iterate / Pivot / Stop in Decision Log.</x:v>
      </x:c>
      <x:c r="B25" s="18"/>
      <x:c r="C25" s="18"/>
      <x:c r="D25" s="18"/>
      <x:c r="E25" s="18"/>
      <x:c r="F25" s="18"/>
    </x:row>
    <x:row r="26">
      <x:c r="A26" s="18"/>
      <x:c r="B26" s="18"/>
      <x:c r="C26" s="18"/>
      <x:c r="D26" s="18"/>
      <x:c r="E26" s="18"/>
      <x:c r="F26" s="18"/>
    </x:row>
    <x:row r="27">
      <x:c r="A27" s="18"/>
      <x:c r="B27" s="18"/>
      <x:c r="C27" s="18"/>
      <x:c r="D27" s="18"/>
      <x:c r="E27" s="18"/>
      <x:c r="F27" s="18"/>
    </x:row>
    <x:row r="28">
      <x:c r="A28" s="18"/>
      <x:c r="B28" s="18"/>
      <x:c r="C28" s="18"/>
      <x:c r="D28" s="18"/>
      <x:c r="E28" s="18"/>
      <x:c r="F28" s="18"/>
    </x:row>
    <x:row r="29">
      <x:c r="A29" s="18"/>
      <x:c r="B29" s="18"/>
      <x:c r="C29" s="18"/>
      <x:c r="D29" s="18"/>
      <x:c r="E29" s="18"/>
      <x:c r="F29" s="18"/>
    </x:row>
    <x:row r="30">
      <x:c r="A30" s="18"/>
      <x:c r="B30" s="18"/>
      <x:c r="C30" s="18"/>
      <x:c r="D30" s="18"/>
      <x:c r="E30" s="18"/>
      <x:c r="F30" s="18"/>
    </x:row>
    <x:row r="31">
      <x:c r="A31" s="18"/>
      <x:c r="B31" s="18"/>
      <x:c r="C31" s="18"/>
      <x:c r="D31" s="18"/>
      <x:c r="E31" s="18"/>
      <x:c r="F31" s="18"/>
    </x:row>
    <x:row r="32">
      <x:c r="A32" s="18"/>
      <x:c r="B32" s="18"/>
      <x:c r="C32" s="18"/>
      <x:c r="D32" s="18"/>
      <x:c r="E32" s="18"/>
      <x:c r="F32" s="18"/>
    </x:row>
    <x:row r="33">
      <x:c r="A33" s="18"/>
      <x:c r="B33" s="18"/>
      <x:c r="C33" s="18"/>
      <x:c r="D33" s="18"/>
      <x:c r="E33" s="18"/>
      <x:c r="F33" s="18"/>
    </x:row>
    <x:row r="34">
      <x:c r="A34" s="18"/>
      <x:c r="B34" s="18"/>
      <x:c r="C34" s="18"/>
      <x:c r="D34" s="18"/>
      <x:c r="E34" s="18"/>
      <x:c r="F34" s="18"/>
    </x:row>
    <x:row r="35">
      <x:c r="A35" s="18"/>
      <x:c r="B35" s="18"/>
      <x:c r="C35" s="18"/>
      <x:c r="D35" s="18"/>
      <x:c r="E35" s="18"/>
      <x:c r="F35" s="18"/>
    </x:row>
  </x:sheetData>
  <x:mergeCells>
    <x:mergeCell ref="A1:F1"/>
    <x:mergeCell ref="A2:F2"/>
    <x:mergeCell ref="A19:F19"/>
    <x:mergeCell ref="A20:F20"/>
    <x:mergeCell ref="A21:F21"/>
    <x:mergeCell ref="A22:F22"/>
    <x:mergeCell ref="A23:F23"/>
    <x:mergeCell ref="A24:F24"/>
    <x:mergeCell ref="A25:F25"/>
  </x:mergeCells>
  <x:conditionalFormatting sqref="D5:D15">
    <x:cfRule type="expression" dxfId="0" priority="1">
      <x:formula>D5="PASS"</x:formula>
    </x:cfRule>
    <x:cfRule type="expression" dxfId="1" priority="2">
      <x:formula>D5="BELOW"</x:formula>
    </x:cfRule>
  </x:conditionalFormatting>
  <x:conditionalFormatting sqref="D12:D12">
    <x:cfRule type="expression" dxfId="6" priority="3">
      <x:formula>D12="FAIL"</x:formula>
    </x:cfRule>
    <x:cfRule type="expression" dxfId="7" priority="4">
      <x:formula>D12="NOT REPORTED"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64" hidden="0" customWidth="1"/>
    <x:col min="5" max="5" width="28" hidden="0" customWidth="1"/>
    <x:col min="6" max="6" width="18" hidden="0" customWidth="1"/>
    <x:col min="7" max="7" width="32" hidden="0" customWidth="1"/>
    <x:col min="8" max="8" width="38" hidden="0" customWidth="1"/>
  </x:cols>
  <x:sheetData>
    <x:row r="1" ht="39" customHeight="1">
      <x:c r="A1" s="16" t="str">
        <x:v>MILESTONE GATES</x:v>
      </x:c>
      <x:c r="B1" s="16"/>
      <x:c r="C1" s="16"/>
      <x:c r="D1" s="16"/>
      <x:c r="E1" s="16"/>
      <x:c r="F1" s="16"/>
      <x:c r="G1" s="16"/>
      <x:c r="H1" s="16"/>
    </x:row>
    <x:row r="2" ht="31" customHeight="1">
      <x:c r="A2" s="17" t="str">
        <x:v>A gate cannot pass simply because its tasks are marked complete. Attach evidence and record the founder's decision.</x:v>
      </x:c>
      <x:c r="B2" s="17"/>
      <x:c r="C2" s="17"/>
      <x:c r="D2" s="17"/>
      <x:c r="E2" s="17"/>
      <x:c r="F2" s="17"/>
      <x:c r="G2" s="17"/>
      <x:c r="H2" s="17"/>
    </x:row>
    <x:row r="3">
      <x:c r="A3" s="18"/>
      <x:c r="B3" s="18"/>
      <x:c r="C3" s="18"/>
      <x:c r="D3" s="18"/>
      <x:c r="E3" s="18"/>
      <x:c r="F3" s="18"/>
      <x:c r="G3" s="18"/>
      <x:c r="H3" s="18"/>
    </x:row>
    <x:row r="4" ht="30" customHeight="1">
      <x:c r="A4" s="25" t="str">
        <x:v>Gate</x:v>
      </x:c>
      <x:c r="B4" s="25" t="str">
        <x:v>Week / dates</x:v>
      </x:c>
      <x:c r="C4" s="25" t="str">
        <x:v>Delivery</x:v>
      </x:c>
      <x:c r="D4" s="25" t="str">
        <x:v>Evidence-based exit criteria</x:v>
      </x:c>
      <x:c r="E4" s="25" t="str">
        <x:v>Owner</x:v>
      </x:c>
      <x:c r="F4" s="25" t="str">
        <x:v>Status</x:v>
      </x:c>
      <x:c r="G4" s="25" t="str">
        <x:v>Evidence URL / path</x:v>
      </x:c>
      <x:c r="H4" s="25" t="str">
        <x:v>Decision / notes</x:v>
      </x:c>
    </x:row>
    <x:row r="5" ht="56" customHeight="1">
      <x:c r="A5" s="50" t="str">
        <x:v>G1</x:v>
      </x:c>
      <x:c r="B5" s="50" t="str">
        <x:v>Oct 19–25</x:v>
      </x:c>
      <x:c r="C5" s="50" t="str">
        <x:v>Research and charter</x:v>
      </x:c>
      <x:c r="D5" s="50" t="str">
        <x:v>&gt;=10 competitors; &gt;=8 interviews; &gt;=5 describe recent pain; PRD frozen</x:v>
      </x:c>
      <x:c r="E5" s="50" t="str">
        <x:v>Founder</x:v>
      </x:c>
      <x:c r="F5" s="50" t="str">
        <x:v>Not Started</x:v>
      </x:c>
      <x:c r="G5" s="50" t="str"/>
      <x:c r="H5" s="50" t="str"/>
    </x:row>
    <x:row r="6" ht="56" customHeight="1">
      <x:c r="A6" s="50" t="str">
        <x:v>G2</x:v>
      </x:c>
      <x:c r="B6" s="50" t="str">
        <x:v>Oct 26–Nov 1</x:v>
      </x:c>
      <x:c r="C6" s="50" t="str">
        <x:v>Local prototype</x:v>
      </x:c>
      <x:c r="D6" s="50" t="str">
        <x:v>Inspection + task claims + risk/handoff; &gt;=20 fixtures; no surprise writes</x:v>
      </x:c>
      <x:c r="E6" s="50" t="str">
        <x:v>Engineering / founder review</x:v>
      </x:c>
      <x:c r="F6" s="50" t="str">
        <x:v>Not Started</x:v>
      </x:c>
      <x:c r="G6" s="50" t="str"/>
      <x:c r="H6" s="50" t="str"/>
    </x:row>
    <x:row r="7" ht="56" customHeight="1">
      <x:c r="A7" s="50" t="str">
        <x:v>G3</x:v>
      </x:c>
      <x:c r="B7" s="50" t="str">
        <x:v>Nov 2–8</x:v>
      </x:c>
      <x:c r="C7" s="50" t="str">
        <x:v>Private alpha</x:v>
      </x:c>
      <x:c r="D7" s="50" t="str">
        <x:v>&gt;=5 testers; &gt;=4 completed guided flow; 0 critical incidents</x:v>
      </x:c>
      <x:c r="E7" s="50" t="str">
        <x:v>Founder</x:v>
      </x:c>
      <x:c r="F7" s="50" t="str">
        <x:v>Not Started</x:v>
      </x:c>
      <x:c r="G7" s="50" t="str"/>
      <x:c r="H7" s="50" t="str"/>
    </x:row>
    <x:row r="8" ht="56" customHeight="1">
      <x:c r="A8" s="50" t="str">
        <x:v>G4</x:v>
      </x:c>
      <x:c r="B8" s="50" t="str">
        <x:v>Nov 9–15</x:v>
      </x:c>
      <x:c r="C8" s="50" t="str">
        <x:v>Public free beta</x:v>
      </x:c>
      <x:c r="D8" s="50" t="str">
        <x:v>Tagged release, guides, privacy, demo; 0 known P0/P1 issues</x:v>
      </x:c>
      <x:c r="E8" s="50" t="str">
        <x:v>Founder</x:v>
      </x:c>
      <x:c r="F8" s="50" t="str">
        <x:v>Not Started</x:v>
      </x:c>
      <x:c r="G8" s="50" t="str"/>
      <x:c r="H8" s="50" t="str"/>
    </x:row>
    <x:row r="9" ht="56" customHeight="1">
      <x:c r="A9" s="50" t="str">
        <x:v>G5</x:v>
      </x:c>
      <x:c r="B9" s="50" t="str">
        <x:v>Nov 16–22</x:v>
      </x:c>
      <x:c r="C9" s="50" t="str">
        <x:v>Paid-value test</x:v>
      </x:c>
      <x:c r="D9" s="50" t="str">
        <x:v>Checkout/fulfillment tested; clear differentiation; real buyer feedback</x:v>
      </x:c>
      <x:c r="E9" s="50" t="str">
        <x:v>Founder</x:v>
      </x:c>
      <x:c r="F9" s="50" t="str">
        <x:v>Not Started</x:v>
      </x:c>
      <x:c r="G9" s="50" t="str"/>
      <x:c r="H9" s="50" t="str"/>
    </x:row>
    <x:row r="10" ht="56" customHeight="1">
      <x:c r="A10" s="50" t="str">
        <x:v>G6</x:v>
      </x:c>
      <x:c r="B10" s="50" t="str">
        <x:v>Nov 23–29</x:v>
      </x:c>
      <x:c r="C10" s="50" t="str">
        <x:v>Continue/pivot decision</x:v>
      </x:c>
      <x:c r="D10" s="50" t="str">
        <x:v>&gt;=50 installs; &gt;=15 activated; &gt;=8 repeat; &gt;=3 paying; safe operation</x:v>
      </x:c>
      <x:c r="E10" s="50" t="str">
        <x:v>Founder</x:v>
      </x:c>
      <x:c r="F10" s="50" t="str">
        <x:v>Not Started</x:v>
      </x:c>
      <x:c r="G10" s="50" t="str"/>
      <x:c r="H10" s="50" t="str"/>
    </x:row>
    <x:row r="11">
      <x:c r="A11" s="18"/>
      <x:c r="B11" s="18"/>
      <x:c r="C11" s="18"/>
      <x:c r="D11" s="18"/>
      <x:c r="E11" s="18"/>
      <x:c r="F11" s="18"/>
      <x:c r="G11" s="18"/>
      <x:c r="H11" s="18"/>
    </x:row>
    <x:row r="12">
      <x:c r="A12" s="18"/>
      <x:c r="B12" s="18"/>
      <x:c r="C12" s="18"/>
      <x:c r="D12" s="18"/>
      <x:c r="E12" s="18"/>
      <x:c r="F12" s="18"/>
      <x:c r="G12" s="18"/>
      <x:c r="H12" s="18"/>
    </x:row>
    <x:row r="13">
      <x:c r="A13" s="18"/>
      <x:c r="B13" s="18"/>
      <x:c r="C13" s="18"/>
      <x:c r="D13" s="18"/>
      <x:c r="E13" s="18"/>
      <x:c r="F13" s="18"/>
      <x:c r="G13" s="18"/>
      <x:c r="H13" s="18"/>
    </x:row>
    <x:row r="14">
      <x:c r="A14" s="18"/>
      <x:c r="B14" s="18"/>
      <x:c r="C14" s="18"/>
      <x:c r="D14" s="18"/>
      <x:c r="E14" s="18"/>
      <x:c r="F14" s="18"/>
      <x:c r="G14" s="18"/>
      <x:c r="H14" s="18"/>
    </x:row>
    <x:row r="15">
      <x:c r="A15" s="18"/>
      <x:c r="B15" s="18"/>
      <x:c r="C15" s="18"/>
      <x:c r="D15" s="18"/>
      <x:c r="E15" s="18"/>
      <x:c r="F15" s="18"/>
      <x:c r="G15" s="18"/>
      <x:c r="H15" s="18"/>
    </x:row>
    <x:row r="16">
      <x:c r="A16" s="18"/>
      <x:c r="B16" s="18"/>
      <x:c r="C16" s="18"/>
      <x:c r="D16" s="18"/>
      <x:c r="E16" s="18"/>
      <x:c r="F16" s="18"/>
      <x:c r="G16" s="18"/>
      <x:c r="H16" s="18"/>
    </x:row>
    <x:row r="17">
      <x:c r="A17" s="18"/>
      <x:c r="B17" s="18"/>
      <x:c r="C17" s="18"/>
      <x:c r="D17" s="18"/>
      <x:c r="E17" s="18"/>
      <x:c r="F17" s="18"/>
      <x:c r="G17" s="18"/>
      <x:c r="H17" s="18"/>
    </x:row>
    <x:row r="18">
      <x:c r="A18" s="18"/>
      <x:c r="B18" s="18"/>
      <x:c r="C18" s="18"/>
      <x:c r="D18" s="18"/>
      <x:c r="E18" s="18"/>
      <x:c r="F18" s="18"/>
      <x:c r="G18" s="18"/>
      <x:c r="H18" s="18"/>
    </x:row>
    <x:row r="19">
      <x:c r="A19" s="18"/>
      <x:c r="B19" s="18"/>
      <x:c r="C19" s="18"/>
      <x:c r="D19" s="18"/>
      <x:c r="E19" s="18"/>
      <x:c r="F19" s="18"/>
      <x:c r="G19" s="18"/>
      <x:c r="H19" s="18"/>
    </x:row>
    <x:row r="20">
      <x:c r="A20" s="18"/>
      <x:c r="B20" s="18"/>
      <x:c r="C20" s="18"/>
      <x:c r="D20" s="18"/>
      <x:c r="E20" s="18"/>
      <x:c r="F20" s="18"/>
      <x:c r="G20" s="18"/>
      <x:c r="H20" s="18"/>
    </x:row>
    <x:row r="21">
      <x:c r="A21" s="18"/>
      <x:c r="B21" s="18"/>
      <x:c r="C21" s="18"/>
      <x:c r="D21" s="18"/>
      <x:c r="E21" s="18"/>
      <x:c r="F21" s="18"/>
      <x:c r="G21" s="18"/>
      <x:c r="H21" s="18"/>
    </x:row>
    <x:row r="22">
      <x:c r="A22" s="18"/>
      <x:c r="B22" s="18"/>
      <x:c r="C22" s="18"/>
      <x:c r="D22" s="18"/>
      <x:c r="E22" s="18"/>
      <x:c r="F22" s="18"/>
      <x:c r="G22" s="18"/>
      <x:c r="H22" s="18"/>
    </x:row>
    <x:row r="23">
      <x:c r="A23" s="18"/>
      <x:c r="B23" s="18"/>
      <x:c r="C23" s="18"/>
      <x:c r="D23" s="18"/>
      <x:c r="E23" s="18"/>
      <x:c r="F23" s="18"/>
      <x:c r="G23" s="18"/>
      <x:c r="H23" s="18"/>
    </x:row>
    <x:row r="24">
      <x:c r="A24" s="18"/>
      <x:c r="B24" s="18"/>
      <x:c r="C24" s="18"/>
      <x:c r="D24" s="18"/>
      <x:c r="E24" s="18"/>
      <x:c r="F24" s="18"/>
      <x:c r="G24" s="18"/>
      <x:c r="H24" s="18"/>
    </x:row>
    <x:row r="25">
      <x:c r="A25" s="18"/>
      <x:c r="B25" s="18"/>
      <x:c r="C25" s="18"/>
      <x:c r="D25" s="18"/>
      <x:c r="E25" s="18"/>
      <x:c r="F25" s="18"/>
      <x:c r="G25" s="18"/>
      <x:c r="H25" s="18"/>
    </x:row>
  </x:sheetData>
  <x:mergeCells>
    <x:mergeCell ref="A1:H1"/>
    <x:mergeCell ref="A2:H2"/>
  </x:mergeCells>
  <x:conditionalFormatting sqref="F5:F10">
    <x:cfRule type="expression" dxfId="2" priority="1">
      <x:formula>F5="Passed"</x:formula>
    </x:cfRule>
    <x:cfRule type="expression" dxfId="3" priority="2">
      <x:formula>OR(F5="Blocked",F5="Failed")</x:formula>
    </x:cfRule>
  </x:conditionalFormatting>
  <x:dataValidations count="1">
    <x:dataValidation type="list" sqref="F5:F10">
      <x:formula1>"Not Started,In Progress,Blocked,In Review,Passed,Failed,Deferred"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1" hidden="0" customWidth="1"/>
    <x:col min="3" max="3" width="12" hidden="0" customWidth="1"/>
    <x:col min="4" max="4" width="48" hidden="0" customWidth="1"/>
    <x:col min="5" max="5" width="23" hidden="0" customWidth="1"/>
    <x:col min="6" max="6" width="16" hidden="0" customWidth="1"/>
    <x:col min="7" max="7" width="18" hidden="0" customWidth="1"/>
    <x:col min="8" max="8" width="62" hidden="0" customWidth="1"/>
    <x:col min="9" max="9" width="30" hidden="0" customWidth="1"/>
    <x:col min="10" max="10" width="36" hidden="0" customWidth="1"/>
  </x:cols>
  <x:sheetData>
    <x:row r="1" ht="39" customHeight="1">
      <x:c r="A1" s="16" t="str">
        <x:v>DELIVERY BACKLOG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31" customHeight="1">
      <x:c r="A2" s="17" t="str">
        <x:v>Update owner, status, evidence, and blockers. 'Done' requires acceptance evidence—not only an AI claim.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</x:row>
    <x:row r="4" ht="30" customHeight="1">
      <x:c r="A4" s="25" t="str">
        <x:v>Task ID</x:v>
      </x:c>
      <x:c r="B4" s="25" t="str">
        <x:v>Gate</x:v>
      </x:c>
      <x:c r="C4" s="25" t="str">
        <x:v>Priority</x:v>
      </x:c>
      <x:c r="D4" s="25" t="str">
        <x:v>Deliverable / ticket</x:v>
      </x:c>
      <x:c r="E4" s="25" t="str">
        <x:v>Owner</x:v>
      </x:c>
      <x:c r="F4" s="25" t="str">
        <x:v>Due</x:v>
      </x:c>
      <x:c r="G4" s="25" t="str">
        <x:v>Status</x:v>
      </x:c>
      <x:c r="H4" s="25" t="str">
        <x:v>Acceptance / done condition</x:v>
      </x:c>
      <x:c r="I4" s="25" t="str">
        <x:v>Evidence link</x:v>
      </x:c>
      <x:c r="J4" s="25" t="str">
        <x:v>Blocker / notes</x:v>
      </x:c>
    </x:row>
    <x:row r="5" ht="39" customHeight="1">
      <x:c r="A5" s="50" t="str">
        <x:v>G1-01</x:v>
      </x:c>
      <x:c r="B5" s="50" t="str">
        <x:v>G1</x:v>
      </x:c>
      <x:c r="C5" s="50" t="str">
        <x:v>P0</x:v>
      </x:c>
      <x:c r="D5" s="50" t="str">
        <x:v>Competitive matrix: &gt;=10 tools</x:v>
      </x:c>
      <x:c r="E5" s="50" t="str">
        <x:v>Founder</x:v>
      </x:c>
      <x:c r="F5" s="50" t="str">
        <x:v>2026-10-22</x:v>
      </x:c>
      <x:c r="G5" s="50" t="str">
        <x:v>Not Started</x:v>
      </x:c>
      <x:c r="H5" s="50" t="str">
        <x:v>Features, price, links, gaps verified</x:v>
      </x:c>
      <x:c r="I5" s="50" t="str"/>
      <x:c r="J5" s="50" t="str"/>
    </x:row>
    <x:row r="6" ht="39" customHeight="1">
      <x:c r="A6" s="50" t="str">
        <x:v>G1-02</x:v>
      </x:c>
      <x:c r="B6" s="50" t="str">
        <x:v>G1</x:v>
      </x:c>
      <x:c r="C6" s="50" t="str">
        <x:v>P0</x:v>
      </x:c>
      <x:c r="D6" s="50" t="str">
        <x:v>Recruit 8–10 qualified interviewees</x:v>
      </x:c>
      <x:c r="E6" s="50" t="str">
        <x:v>Founder</x:v>
      </x:c>
      <x:c r="F6" s="50" t="str">
        <x:v>2026-10-23</x:v>
      </x:c>
      <x:c r="G6" s="50" t="str">
        <x:v>Not Started</x:v>
      </x:c>
      <x:c r="H6" s="50" t="str">
        <x:v>Candidates used 2+ agent sessions in last month</x:v>
      </x:c>
      <x:c r="I6" s="50" t="str"/>
      <x:c r="J6" s="50" t="str"/>
    </x:row>
    <x:row r="7" ht="39" customHeight="1">
      <x:c r="A7" s="50" t="str">
        <x:v>G1-03</x:v>
      </x:c>
      <x:c r="B7" s="50" t="str">
        <x:v>G1</x:v>
      </x:c>
      <x:c r="C7" s="50" t="str">
        <x:v>P0</x:v>
      </x:c>
      <x:c r="D7" s="50" t="str">
        <x:v>Conduct problem interviews</x:v>
      </x:c>
      <x:c r="E7" s="50" t="str">
        <x:v>Founder</x:v>
      </x:c>
      <x:c r="F7" s="50" t="str">
        <x:v>2026-10-25</x:v>
      </x:c>
      <x:c r="G7" s="50" t="str">
        <x:v>Not Started</x:v>
      </x:c>
      <x:c r="H7" s="50" t="str">
        <x:v>&gt;=8 notes; &gt;=5 recent incidents for H1</x:v>
      </x:c>
      <x:c r="I7" s="50" t="str"/>
      <x:c r="J7" s="50" t="str"/>
    </x:row>
    <x:row r="8" ht="39" customHeight="1">
      <x:c r="A8" s="50" t="str">
        <x:v>G1-04</x:v>
      </x:c>
      <x:c r="B8" s="50" t="str">
        <x:v>G1</x:v>
      </x:c>
      <x:c r="C8" s="50" t="str">
        <x:v>P0</x:v>
      </x:c>
      <x:c r="D8" s="50" t="str">
        <x:v>PRD + go/no-go decision</x:v>
      </x:c>
      <x:c r="E8" s="50" t="str">
        <x:v>Founder</x:v>
      </x:c>
      <x:c r="F8" s="50" t="str">
        <x:v>2026-10-25</x:v>
      </x:c>
      <x:c r="G8" s="50" t="str">
        <x:v>Not Started</x:v>
      </x:c>
      <x:c r="H8" s="50" t="str">
        <x:v>Scope and unmet value wedge written</x:v>
      </x:c>
      <x:c r="I8" s="50" t="str"/>
      <x:c r="J8" s="50" t="str"/>
    </x:row>
    <x:row r="9" ht="39" customHeight="1">
      <x:c r="A9" s="50" t="str">
        <x:v>G2-01</x:v>
      </x:c>
      <x:c r="B9" s="50" t="str">
        <x:v>G2</x:v>
      </x:c>
      <x:c r="C9" s="50" t="str">
        <x:v>P0</x:v>
      </x:c>
      <x:c r="D9" s="50" t="str">
        <x:v>CLI inspect + repo/worktree model</x:v>
      </x:c>
      <x:c r="E9" s="50" t="str">
        <x:v>Engineering</x:v>
      </x:c>
      <x:c r="F9" s="50" t="str">
        <x:v>2026-10-28</x:v>
      </x:c>
      <x:c r="G9" s="50" t="str">
        <x:v>Not Started</x:v>
      </x:c>
      <x:c r="H9" s="50" t="str">
        <x:v>Works offline; read-only; documented output</x:v>
      </x:c>
      <x:c r="I9" s="50" t="str"/>
      <x:c r="J9" s="50" t="str"/>
    </x:row>
    <x:row r="10" ht="39" customHeight="1">
      <x:c r="A10" s="50" t="str">
        <x:v>G2-02</x:v>
      </x:c>
      <x:c r="B10" s="50" t="str">
        <x:v>G2</x:v>
      </x:c>
      <x:c r="C10" s="50" t="str">
        <x:v>P0</x:v>
      </x:c>
      <x:c r="D10" s="50" t="str">
        <x:v>Task manifest + explicit claims</x:v>
      </x:c>
      <x:c r="E10" s="50" t="str">
        <x:v>Engineering</x:v>
      </x:c>
      <x:c r="F10" s="50" t="str">
        <x:v>2026-10-29</x:v>
      </x:c>
      <x:c r="G10" s="50" t="str">
        <x:v>Not Started</x:v>
      </x:c>
      <x:c r="H10" s="50" t="str">
        <x:v>Never silently writes; validates path input</x:v>
      </x:c>
      <x:c r="I10" s="50" t="str"/>
      <x:c r="J10" s="50" t="str"/>
    </x:row>
    <x:row r="11" ht="39" customHeight="1">
      <x:c r="A11" s="50" t="str">
        <x:v>G2-03</x:v>
      </x:c>
      <x:c r="B11" s="50" t="str">
        <x:v>G2</x:v>
      </x:c>
      <x:c r="C11" s="50" t="str">
        <x:v>P0</x:v>
      </x:c>
      <x:c r="D11" s="50" t="str">
        <x:v>Risk report overlapping tasks</x:v>
      </x:c>
      <x:c r="E11" s="50" t="str">
        <x:v>Engineering</x:v>
      </x:c>
      <x:c r="F11" s="50" t="str">
        <x:v>2026-10-30</x:v>
      </x:c>
      <x:c r="G11" s="50" t="str">
        <x:v>Not Started</x:v>
      </x:c>
      <x:c r="H11" s="50" t="str">
        <x:v>Catches overlap fixtures with evidence</x:v>
      </x:c>
      <x:c r="I11" s="50" t="str"/>
      <x:c r="J11" s="50" t="str"/>
    </x:row>
    <x:row r="12" ht="39" customHeight="1">
      <x:c r="A12" s="50" t="str">
        <x:v>G2-04</x:v>
      </x:c>
      <x:c r="B12" s="50" t="str">
        <x:v>G2</x:v>
      </x:c>
      <x:c r="C12" s="50" t="str">
        <x:v>P0</x:v>
      </x:c>
      <x:c r="D12" s="50" t="str">
        <x:v>Evidence-based handoff report</x:v>
      </x:c>
      <x:c r="E12" s="50" t="str">
        <x:v>Engineering</x:v>
      </x:c>
      <x:c r="F12" s="50" t="str">
        <x:v>2026-10-30</x:v>
      </x:c>
      <x:c r="G12" s="50" t="str">
        <x:v>Not Started</x:v>
      </x:c>
      <x:c r="H12" s="50" t="str">
        <x:v>Unknown test result says 'Not verified'</x:v>
      </x:c>
      <x:c r="I12" s="50" t="str"/>
      <x:c r="J12" s="50" t="str"/>
    </x:row>
    <x:row r="13" ht="39" customHeight="1">
      <x:c r="A13" s="50" t="str">
        <x:v>G2-05</x:v>
      </x:c>
      <x:c r="B13" s="50" t="str">
        <x:v>G2</x:v>
      </x:c>
      <x:c r="C13" s="50" t="str">
        <x:v>P0</x:v>
      </x:c>
      <x:c r="D13" s="50" t="str">
        <x:v>20+ fixtures and safety audit</x:v>
      </x:c>
      <x:c r="E13" s="50" t="str">
        <x:v>Engineering / founder</x:v>
      </x:c>
      <x:c r="F13" s="50" t="str">
        <x:v>2026-11-01</x:v>
      </x:c>
      <x:c r="G13" s="50" t="str">
        <x:v>Not Started</x:v>
      </x:c>
      <x:c r="H13" s="50" t="str">
        <x:v>All critical fixtures green; no destructive commands</x:v>
      </x:c>
      <x:c r="I13" s="50" t="str"/>
      <x:c r="J13" s="50" t="str"/>
    </x:row>
    <x:row r="14" ht="39" customHeight="1">
      <x:c r="A14" s="50" t="str">
        <x:v>G3-01</x:v>
      </x:c>
      <x:c r="B14" s="50" t="str">
        <x:v>G3</x:v>
      </x:c>
      <x:c r="C14" s="50" t="str">
        <x:v>P0</x:v>
      </x:c>
      <x:c r="D14" s="50" t="str">
        <x:v>Alpha onboarding and demo guide</x:v>
      </x:c>
      <x:c r="E14" s="50" t="str">
        <x:v>Founder</x:v>
      </x:c>
      <x:c r="F14" s="50" t="str">
        <x:v>2026-11-03</x:v>
      </x:c>
      <x:c r="G14" s="50" t="str">
        <x:v>Not Started</x:v>
      </x:c>
      <x:c r="H14" s="50" t="str">
        <x:v>New user can run workflow from clean clone</x:v>
      </x:c>
      <x:c r="I14" s="50" t="str"/>
      <x:c r="J14" s="50" t="str"/>
    </x:row>
    <x:row r="15" ht="39" customHeight="1">
      <x:c r="A15" s="50" t="str">
        <x:v>G3-02</x:v>
      </x:c>
      <x:c r="B15" s="50" t="str">
        <x:v>G3</x:v>
      </x:c>
      <x:c r="C15" s="50" t="str">
        <x:v>P0</x:v>
      </x:c>
      <x:c r="D15" s="50" t="str">
        <x:v>Recruit 5 alpha testers</x:v>
      </x:c>
      <x:c r="E15" s="50" t="str">
        <x:v>Founder</x:v>
      </x:c>
      <x:c r="F15" s="50" t="str">
        <x:v>2026-11-04</x:v>
      </x:c>
      <x:c r="G15" s="50" t="str">
        <x:v>Not Started</x:v>
      </x:c>
      <x:c r="H15" s="50" t="str">
        <x:v>Five distinct qualified volunteers</x:v>
      </x:c>
      <x:c r="I15" s="50" t="str"/>
      <x:c r="J15" s="50" t="str"/>
    </x:row>
    <x:row r="16" ht="39" customHeight="1">
      <x:c r="A16" s="50" t="str">
        <x:v>G3-03</x:v>
      </x:c>
      <x:c r="B16" s="50" t="str">
        <x:v>G3</x:v>
      </x:c>
      <x:c r="C16" s="50" t="str">
        <x:v>P0</x:v>
      </x:c>
      <x:c r="D16" s="50" t="str">
        <x:v>Observe 5 full workflows</x:v>
      </x:c>
      <x:c r="E16" s="50" t="str">
        <x:v>Founder</x:v>
      </x:c>
      <x:c r="F16" s="50" t="str">
        <x:v>2026-11-08</x:v>
      </x:c>
      <x:c r="G16" s="50" t="str">
        <x:v>Not Started</x:v>
      </x:c>
      <x:c r="H16" s="50" t="str">
        <x:v>&gt;=4 finish, feedback recorded per tester</x:v>
      </x:c>
      <x:c r="I16" s="50" t="str"/>
      <x:c r="J16" s="50" t="str"/>
    </x:row>
    <x:row r="17" ht="39" customHeight="1">
      <x:c r="A17" s="50" t="str">
        <x:v>G4-01</x:v>
      </x:c>
      <x:c r="B17" s="50" t="str">
        <x:v>G4</x:v>
      </x:c>
      <x:c r="C17" s="50" t="str">
        <x:v>P0</x:v>
      </x:c>
      <x:c r="D17" s="50" t="str">
        <x:v>Public beta release checklist</x:v>
      </x:c>
      <x:c r="E17" s="50" t="str">
        <x:v>Engineering / founder</x:v>
      </x:c>
      <x:c r="F17" s="50" t="str">
        <x:v>2026-11-11</x:v>
      </x:c>
      <x:c r="G17" s="50" t="str">
        <x:v>Not Started</x:v>
      </x:c>
      <x:c r="H17" s="50" t="str">
        <x:v>License, docs, privacy, changelog, smoke test</x:v>
      </x:c>
      <x:c r="I17" s="50" t="str"/>
      <x:c r="J17" s="50" t="str"/>
    </x:row>
    <x:row r="18" ht="39" customHeight="1">
      <x:c r="A18" s="50" t="str">
        <x:v>G4-02</x:v>
      </x:c>
      <x:c r="B18" s="50" t="str">
        <x:v>G4</x:v>
      </x:c>
      <x:c r="C18" s="50" t="str">
        <x:v>P1</x:v>
      </x:c>
      <x:c r="D18" s="50" t="str">
        <x:v>2 short product demo videos</x:v>
      </x:c>
      <x:c r="E18" s="50" t="str">
        <x:v>Founder</x:v>
      </x:c>
      <x:c r="F18" s="50" t="str">
        <x:v>2026-11-13</x:v>
      </x:c>
      <x:c r="G18" s="50" t="str">
        <x:v>Not Started</x:v>
      </x:c>
      <x:c r="H18" s="50" t="str">
        <x:v>Screens include overlap and handoff scenarios</x:v>
      </x:c>
      <x:c r="I18" s="50" t="str"/>
      <x:c r="J18" s="50" t="str"/>
    </x:row>
    <x:row r="19" ht="39" customHeight="1">
      <x:c r="A19" s="50" t="str">
        <x:v>G4-03</x:v>
      </x:c>
      <x:c r="B19" s="50" t="str">
        <x:v>G4</x:v>
      </x:c>
      <x:c r="C19" s="50" t="str">
        <x:v>P1</x:v>
      </x:c>
      <x:c r="D19" s="50" t="str">
        <x:v>Launch distribution experiments</x:v>
      </x:c>
      <x:c r="E19" s="50" t="str">
        <x:v>Founder</x:v>
      </x:c>
      <x:c r="F19" s="50" t="str">
        <x:v>2026-11-15</x:v>
      </x:c>
      <x:c r="G19" s="50" t="str">
        <x:v>Not Started</x:v>
      </x:c>
      <x:c r="H19" s="50" t="str">
        <x:v>Channels logged; follows community rules</x:v>
      </x:c>
      <x:c r="I19" s="50" t="str"/>
      <x:c r="J19" s="50" t="str"/>
    </x:row>
    <x:row r="20" ht="39" customHeight="1">
      <x:c r="A20" s="50" t="str">
        <x:v>G5-01</x:v>
      </x:c>
      <x:c r="B20" s="50" t="str">
        <x:v>G5</x:v>
      </x:c>
      <x:c r="C20" s="50" t="str">
        <x:v>P0</x:v>
      </x:c>
      <x:c r="D20" s="50" t="str">
        <x:v>Paid value and pricing experiment</x:v>
      </x:c>
      <x:c r="E20" s="50" t="str">
        <x:v>Founder</x:v>
      </x:c>
      <x:c r="F20" s="50" t="str">
        <x:v>2026-11-18</x:v>
      </x:c>
      <x:c r="G20" s="50" t="str">
        <x:v>Not Started</x:v>
      </x:c>
      <x:c r="H20" s="50" t="str">
        <x:v>Distinct Pro benefit; non-leading buyer feedback</x:v>
      </x:c>
      <x:c r="I20" s="50" t="str"/>
      <x:c r="J20" s="50" t="str"/>
    </x:row>
    <x:row r="21" ht="39" customHeight="1">
      <x:c r="A21" s="50" t="str">
        <x:v>G5-02</x:v>
      </x:c>
      <x:c r="B21" s="50" t="str">
        <x:v>G5</x:v>
      </x:c>
      <x:c r="C21" s="50" t="str">
        <x:v>P0</x:v>
      </x:c>
      <x:c r="D21" s="50" t="str">
        <x:v>Checkout, fulfillment, support test</x:v>
      </x:c>
      <x:c r="E21" s="50" t="str">
        <x:v>Founder</x:v>
      </x:c>
      <x:c r="F21" s="50" t="str">
        <x:v>2026-11-20</x:v>
      </x:c>
      <x:c r="G21" s="50" t="str">
        <x:v>Not Started</x:v>
      </x:c>
      <x:c r="H21" s="50" t="str">
        <x:v>Successful test order, delivery and policy</x:v>
      </x:c>
      <x:c r="I21" s="50" t="str"/>
      <x:c r="J21" s="50" t="str"/>
    </x:row>
    <x:row r="22" ht="39" customHeight="1">
      <x:c r="A22" s="50" t="str">
        <x:v>G6-01</x:v>
      </x:c>
      <x:c r="B22" s="50" t="str">
        <x:v>G6</x:v>
      </x:c>
      <x:c r="C22" s="50" t="str">
        <x:v>P0</x:v>
      </x:c>
      <x:c r="D22" s="50" t="str">
        <x:v>Cohort/funnel and safety review</x:v>
      </x:c>
      <x:c r="E22" s="50" t="str">
        <x:v>Founder</x:v>
      </x:c>
      <x:c r="F22" s="50" t="str">
        <x:v>2026-11-28</x:v>
      </x:c>
      <x:c r="G22" s="50" t="str">
        <x:v>Not Started</x:v>
      </x:c>
      <x:c r="H22" s="50" t="str">
        <x:v>Metrics deduplicated, evidence reviewed</x:v>
      </x:c>
      <x:c r="I22" s="50" t="str"/>
      <x:c r="J22" s="50" t="str"/>
    </x:row>
    <x:row r="23" ht="39" customHeight="1">
      <x:c r="A23" s="50" t="str">
        <x:v>G6-02</x:v>
      </x:c>
      <x:c r="B23" s="50" t="str">
        <x:v>G6</x:v>
      </x:c>
      <x:c r="C23" s="50" t="str">
        <x:v>P0</x:v>
      </x:c>
      <x:c r="D23" s="50" t="str">
        <x:v>Scale/iterate/pivot/stop memo</x:v>
      </x:c>
      <x:c r="E23" s="50" t="str">
        <x:v>Founder</x:v>
      </x:c>
      <x:c r="F23" s="50" t="str">
        <x:v>2026-11-29</x:v>
      </x:c>
      <x:c r="G23" s="50" t="str">
        <x:v>Not Started</x:v>
      </x:c>
      <x:c r="H23" s="50" t="str">
        <x:v>Decision, reasons, 30-day next actions</x:v>
      </x:c>
      <x:c r="I23" s="50" t="str"/>
      <x:c r="J23" s="50" t="str"/>
    </x:row>
    <x:row r="24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</x:row>
    <x:row r="25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</x:row>
    <x:row r="26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</x:row>
    <x:row r="27">
      <x:c r="A27" s="18"/>
      <x:c r="B27" s="18"/>
      <x:c r="C27" s="18"/>
      <x:c r="D27" s="18"/>
      <x:c r="E27" s="18"/>
      <x:c r="F27" s="18"/>
      <x:c r="G27" s="18"/>
      <x:c r="H27" s="18"/>
      <x:c r="I27" s="18"/>
      <x:c r="J27" s="18"/>
    </x:row>
    <x:row r="28">
      <x:c r="A28" s="18"/>
      <x:c r="B28" s="18"/>
      <x:c r="C28" s="18"/>
      <x:c r="D28" s="18"/>
      <x:c r="E28" s="18"/>
      <x:c r="F28" s="18"/>
      <x:c r="G28" s="18"/>
      <x:c r="H28" s="18"/>
      <x:c r="I28" s="18"/>
      <x:c r="J28" s="18"/>
    </x:row>
    <x:row r="29">
      <x:c r="A29" s="18"/>
      <x:c r="B29" s="18"/>
      <x:c r="C29" s="18"/>
      <x:c r="D29" s="18"/>
      <x:c r="E29" s="18"/>
      <x:c r="F29" s="18"/>
      <x:c r="G29" s="18"/>
      <x:c r="H29" s="18"/>
      <x:c r="I29" s="18"/>
      <x:c r="J29" s="18"/>
    </x:row>
    <x:row r="30">
      <x:c r="A30" s="18"/>
      <x:c r="B30" s="18"/>
      <x:c r="C30" s="18"/>
      <x:c r="D30" s="18"/>
      <x:c r="E30" s="18"/>
      <x:c r="F30" s="18"/>
      <x:c r="G30" s="18"/>
      <x:c r="H30" s="18"/>
      <x:c r="I30" s="18"/>
      <x:c r="J30" s="18"/>
    </x:row>
    <x:row r="31">
      <x:c r="A31" s="18"/>
      <x:c r="B31" s="18"/>
      <x:c r="C31" s="18"/>
      <x:c r="D31" s="18"/>
      <x:c r="E31" s="18"/>
      <x:c r="F31" s="18"/>
      <x:c r="G31" s="18"/>
      <x:c r="H31" s="18"/>
      <x:c r="I31" s="18"/>
      <x:c r="J31" s="18"/>
    </x:row>
    <x:row r="32">
      <x:c r="A32" s="18"/>
      <x:c r="B32" s="18"/>
      <x:c r="C32" s="18"/>
      <x:c r="D32" s="18"/>
      <x:c r="E32" s="18"/>
      <x:c r="F32" s="18"/>
      <x:c r="G32" s="18"/>
      <x:c r="H32" s="18"/>
      <x:c r="I32" s="18"/>
      <x:c r="J32" s="18"/>
    </x:row>
    <x:row r="33">
      <x:c r="A33" s="18"/>
      <x:c r="B33" s="18"/>
      <x:c r="C33" s="18"/>
      <x:c r="D33" s="18"/>
      <x:c r="E33" s="18"/>
      <x:c r="F33" s="18"/>
      <x:c r="G33" s="18"/>
      <x:c r="H33" s="18"/>
      <x:c r="I33" s="18"/>
      <x:c r="J33" s="18"/>
    </x:row>
    <x:row r="34">
      <x:c r="A34" s="18"/>
      <x:c r="B34" s="18"/>
      <x:c r="C34" s="18"/>
      <x:c r="D34" s="18"/>
      <x:c r="E34" s="18"/>
      <x:c r="F34" s="18"/>
      <x:c r="G34" s="18"/>
      <x:c r="H34" s="18"/>
      <x:c r="I34" s="18"/>
      <x:c r="J34" s="18"/>
    </x:row>
    <x:row r="35">
      <x:c r="A35" s="18"/>
      <x:c r="B35" s="18"/>
      <x:c r="C35" s="18"/>
      <x:c r="D35" s="18"/>
      <x:c r="E35" s="18"/>
      <x:c r="F35" s="18"/>
      <x:c r="G35" s="18"/>
      <x:c r="H35" s="18"/>
      <x:c r="I35" s="18"/>
      <x:c r="J35" s="18"/>
    </x:row>
    <x:row r="36">
      <x:c r="A36" s="18"/>
      <x:c r="B36" s="18"/>
      <x:c r="C36" s="18"/>
      <x:c r="D36" s="18"/>
      <x:c r="E36" s="18"/>
      <x:c r="F36" s="18"/>
      <x:c r="G36" s="18"/>
      <x:c r="H36" s="18"/>
      <x:c r="I36" s="18"/>
      <x:c r="J36" s="18"/>
    </x:row>
    <x:row r="37">
      <x:c r="A37" s="18"/>
      <x:c r="B37" s="18"/>
      <x:c r="C37" s="18"/>
      <x:c r="D37" s="18"/>
      <x:c r="E37" s="18"/>
      <x:c r="F37" s="18"/>
      <x:c r="G37" s="18"/>
      <x:c r="H37" s="18"/>
      <x:c r="I37" s="18"/>
      <x:c r="J37" s="18"/>
    </x:row>
    <x:row r="38">
      <x:c r="A38" s="18"/>
      <x:c r="B38" s="18"/>
      <x:c r="C38" s="18"/>
      <x:c r="D38" s="18"/>
      <x:c r="E38" s="18"/>
      <x:c r="F38" s="18"/>
      <x:c r="G38" s="18"/>
      <x:c r="H38" s="18"/>
      <x:c r="I38" s="18"/>
      <x:c r="J38" s="18"/>
    </x:row>
    <x:row r="39">
      <x:c r="A39" s="18"/>
      <x:c r="B39" s="18"/>
      <x:c r="C39" s="18"/>
      <x:c r="D39" s="18"/>
      <x:c r="E39" s="18"/>
      <x:c r="F39" s="18"/>
      <x:c r="G39" s="18"/>
      <x:c r="H39" s="18"/>
      <x:c r="I39" s="18"/>
      <x:c r="J39" s="18"/>
    </x:row>
    <x:row r="40">
      <x:c r="A40" s="18"/>
      <x:c r="B40" s="18"/>
      <x:c r="C40" s="18"/>
      <x:c r="D40" s="18"/>
      <x:c r="E40" s="18"/>
      <x:c r="F40" s="18"/>
      <x:c r="G40" s="18"/>
      <x:c r="H40" s="18"/>
      <x:c r="I40" s="18"/>
      <x:c r="J40" s="18"/>
    </x:row>
    <x:row r="41">
      <x:c r="A41" s="18"/>
      <x:c r="B41" s="18"/>
      <x:c r="C41" s="18"/>
      <x:c r="D41" s="18"/>
      <x:c r="E41" s="18"/>
      <x:c r="F41" s="18"/>
      <x:c r="G41" s="18"/>
      <x:c r="H41" s="18"/>
      <x:c r="I41" s="18"/>
      <x:c r="J41" s="18"/>
    </x:row>
    <x:row r="42">
      <x:c r="A42" s="18"/>
      <x:c r="B42" s="18"/>
      <x:c r="C42" s="18"/>
      <x:c r="D42" s="18"/>
      <x:c r="E42" s="18"/>
      <x:c r="F42" s="18"/>
      <x:c r="G42" s="18"/>
      <x:c r="H42" s="18"/>
      <x:c r="I42" s="18"/>
      <x:c r="J42" s="18"/>
    </x:row>
    <x:row r="43">
      <x:c r="A43" s="18"/>
      <x:c r="B43" s="18"/>
      <x:c r="C43" s="18"/>
      <x:c r="D43" s="18"/>
      <x:c r="E43" s="18"/>
      <x:c r="F43" s="18"/>
      <x:c r="G43" s="18"/>
      <x:c r="H43" s="18"/>
      <x:c r="I43" s="18"/>
      <x:c r="J43" s="18"/>
    </x:row>
    <x:row r="44">
      <x:c r="A44" s="18"/>
      <x:c r="B44" s="18"/>
      <x:c r="C44" s="18"/>
      <x:c r="D44" s="18"/>
      <x:c r="E44" s="18"/>
      <x:c r="F44" s="18"/>
      <x:c r="G44" s="18"/>
      <x:c r="H44" s="18"/>
      <x:c r="I44" s="18"/>
      <x:c r="J44" s="18"/>
    </x:row>
    <x:row r="45">
      <x:c r="A45" s="18"/>
      <x:c r="B45" s="18"/>
      <x:c r="C45" s="18"/>
      <x:c r="D45" s="18"/>
      <x:c r="E45" s="18"/>
      <x:c r="F45" s="18"/>
      <x:c r="G45" s="18"/>
      <x:c r="H45" s="18"/>
      <x:c r="I45" s="18"/>
      <x:c r="J45" s="18"/>
    </x:row>
    <x:row r="46">
      <x:c r="A46" s="18"/>
      <x:c r="B46" s="18"/>
      <x:c r="C46" s="18"/>
      <x:c r="D46" s="18"/>
      <x:c r="E46" s="18"/>
      <x:c r="F46" s="18"/>
      <x:c r="G46" s="18"/>
      <x:c r="H46" s="18"/>
      <x:c r="I46" s="18"/>
      <x:c r="J46" s="18"/>
    </x:row>
    <x:row r="47">
      <x:c r="A47" s="18"/>
      <x:c r="B47" s="18"/>
      <x:c r="C47" s="18"/>
      <x:c r="D47" s="18"/>
      <x:c r="E47" s="18"/>
      <x:c r="F47" s="18"/>
      <x:c r="G47" s="18"/>
      <x:c r="H47" s="18"/>
      <x:c r="I47" s="18"/>
      <x:c r="J47" s="18"/>
    </x:row>
    <x:row r="48">
      <x:c r="A48" s="18"/>
      <x:c r="B48" s="18"/>
      <x:c r="C48" s="18"/>
      <x:c r="D48" s="18"/>
      <x:c r="E48" s="18"/>
      <x:c r="F48" s="18"/>
      <x:c r="G48" s="18"/>
      <x:c r="H48" s="18"/>
      <x:c r="I48" s="18"/>
      <x:c r="J48" s="18"/>
    </x:row>
    <x:row r="49">
      <x:c r="A49" s="18"/>
      <x:c r="B49" s="18"/>
      <x:c r="C49" s="18"/>
      <x:c r="D49" s="18"/>
      <x:c r="E49" s="18"/>
      <x:c r="F49" s="18"/>
      <x:c r="G49" s="18"/>
      <x:c r="H49" s="18"/>
      <x:c r="I49" s="18"/>
      <x:c r="J49" s="18"/>
    </x:row>
    <x:row r="50">
      <x:c r="A50" s="18"/>
      <x:c r="B50" s="18"/>
      <x:c r="C50" s="18"/>
      <x:c r="D50" s="18"/>
      <x:c r="E50" s="18"/>
      <x:c r="F50" s="18"/>
      <x:c r="G50" s="18"/>
      <x:c r="H50" s="18"/>
      <x:c r="I50" s="18"/>
      <x:c r="J50" s="18"/>
    </x:row>
    <x:row r="51">
      <x:c r="A51" s="18"/>
      <x:c r="B51" s="18"/>
      <x:c r="C51" s="18"/>
      <x:c r="D51" s="18"/>
      <x:c r="E51" s="18"/>
      <x:c r="F51" s="18"/>
      <x:c r="G51" s="18"/>
      <x:c r="H51" s="18"/>
      <x:c r="I51" s="18"/>
      <x:c r="J51" s="18"/>
    </x:row>
    <x:row r="52">
      <x:c r="A52" s="18"/>
      <x:c r="B52" s="18"/>
      <x:c r="C52" s="18"/>
      <x:c r="D52" s="18"/>
      <x:c r="E52" s="18"/>
      <x:c r="F52" s="18"/>
      <x:c r="G52" s="18"/>
      <x:c r="H52" s="18"/>
      <x:c r="I52" s="18"/>
      <x:c r="J52" s="18"/>
    </x:row>
    <x:row r="53">
      <x:c r="A53" s="18"/>
      <x:c r="B53" s="18"/>
      <x:c r="C53" s="18"/>
      <x:c r="D53" s="18"/>
      <x:c r="E53" s="18"/>
      <x:c r="F53" s="18"/>
      <x:c r="G53" s="18"/>
      <x:c r="H53" s="18"/>
      <x:c r="I53" s="18"/>
      <x:c r="J53" s="18"/>
    </x:row>
    <x:row r="54">
      <x:c r="A54" s="18"/>
      <x:c r="B54" s="18"/>
      <x:c r="C54" s="18"/>
      <x:c r="D54" s="18"/>
      <x:c r="E54" s="18"/>
      <x:c r="F54" s="18"/>
      <x:c r="G54" s="18"/>
      <x:c r="H54" s="18"/>
      <x:c r="I54" s="18"/>
      <x:c r="J54" s="18"/>
    </x:row>
    <x:row r="55">
      <x:c r="A55" s="18"/>
      <x:c r="B55" s="18"/>
      <x:c r="C55" s="18"/>
      <x:c r="D55" s="18"/>
      <x:c r="E55" s="18"/>
      <x:c r="F55" s="18"/>
      <x:c r="G55" s="18"/>
      <x:c r="H55" s="18"/>
      <x:c r="I55" s="18"/>
      <x:c r="J55" s="18"/>
    </x:row>
  </x:sheetData>
  <x:mergeCells>
    <x:mergeCell ref="A1:J1"/>
    <x:mergeCell ref="A2:J2"/>
  </x:mergeCells>
  <x:conditionalFormatting sqref="G5:G60">
    <x:cfRule type="expression" dxfId="4" priority="1">
      <x:formula>G5="Done"</x:formula>
    </x:cfRule>
    <x:cfRule type="expression" dxfId="5" priority="2">
      <x:formula>G5="Blocked"</x:formula>
    </x:cfRule>
  </x:conditionalFormatting>
  <x:dataValidations count="2">
    <x:dataValidation type="list" sqref="C5:C60">
      <x:formula1>"P0,P1,P2"</x:formula1>
    </x:dataValidation>
    <x:dataValidation type="list" sqref="G5:G60">
      <x:formula1>"Not Started,In Progress,In Review,Blocked,Done,Deferred"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20" hidden="0" customWidth="1"/>
    <x:col min="4" max="4" width="20" hidden="0" customWidth="1"/>
    <x:col min="5" max="5" width="22" hidden="0" customWidth="1"/>
    <x:col min="6" max="6" width="22" hidden="0" customWidth="1"/>
    <x:col min="7" max="7" width="20" hidden="0" customWidth="1"/>
    <x:col min="8" max="8" width="21" hidden="0" customWidth="1"/>
    <x:col min="9" max="9" width="23" hidden="0" customWidth="1"/>
    <x:col min="10" max="10" width="16" hidden="0" customWidth="1"/>
    <x:col min="11" max="11" width="16" hidden="0" customWidth="1"/>
    <x:col min="12" max="12" width="16" hidden="0" customWidth="1"/>
    <x:col min="13" max="13" width="19" hidden="0" customWidth="1"/>
    <x:col min="14" max="14" width="58" hidden="0" customWidth="1"/>
  </x:cols>
  <x:sheetData>
    <x:row r="1" ht="39" customHeight="1">
      <x:c r="A1" s="16" t="str">
        <x:v>WEEKLY METRICS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16"/>
      <x:c r="N1" s="16"/>
    </x:row>
    <x:row r="2" ht="31" customHeight="1">
      <x:c r="A2" s="17" t="str">
        <x:v>Editable cells start at B5. Enter NEW unique counts per week; do not double-count returning users.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  <x:c r="M3" s="18"/>
      <x:c r="N3" s="18"/>
    </x:row>
    <x:row r="4" ht="30" customHeight="1">
      <x:c r="A4" s="25" t="str">
        <x:v>Week ending</x:v>
      </x:c>
      <x:c r="B4" s="25" t="str">
        <x:v>Qualified interviews (info)</x:v>
      </x:c>
      <x:c r="C4" s="25" t="str">
        <x:v>Recent pain (info)</x:v>
      </x:c>
      <x:c r="D4" s="25" t="str">
        <x:v>Alpha started (info)</x:v>
      </x:c>
      <x:c r="E4" s="25" t="str">
        <x:v>Alpha completed (info)</x:v>
      </x:c>
      <x:c r="F4" s="25" t="str">
        <x:v>New unique installs</x:v>
      </x:c>
      <x:c r="G4" s="25" t="str">
        <x:v>New activated</x:v>
      </x:c>
      <x:c r="H4" s="25" t="str">
        <x:v>New users 2nd use</x:v>
      </x:c>
      <x:c r="I4" s="25" t="str">
        <x:v>New paying customers</x:v>
      </x:c>
      <x:c r="J4" s="25" t="str">
        <x:v>Gross USD</x:v>
      </x:c>
      <x:c r="K4" s="25" t="str">
        <x:v>Refunds USD</x:v>
      </x:c>
      <x:c r="L4" s="25" t="str">
        <x:v>Fees USD</x:v>
      </x:c>
      <x:c r="M4" s="25" t="str">
        <x:v>Critical incidents</x:v>
      </x:c>
      <x:c r="N4" s="25" t="str">
        <x:v>Evidence / channel notes</x:v>
      </x:c>
    </x:row>
    <x:row r="5" ht="29" customHeight="1">
      <x:c r="A5" s="18" t="str">
        <x:v>2026-10-25</x:v>
      </x:c>
      <x:c r="B5" s="52"/>
      <x:c r="C5" s="52"/>
      <x:c r="D5" s="52"/>
      <x:c r="E5" s="52"/>
      <x:c r="F5" s="52"/>
      <x:c r="G5" s="52"/>
      <x:c r="H5" s="52"/>
      <x:c r="I5" s="52"/>
      <x:c r="J5" s="54"/>
      <x:c r="K5" s="54"/>
      <x:c r="L5" s="54"/>
      <x:c r="M5" s="52"/>
      <x:c r="N5" s="18"/>
    </x:row>
    <x:row r="6" ht="29" customHeight="1">
      <x:c r="A6" s="18" t="str">
        <x:v>2026-11-01</x:v>
      </x:c>
      <x:c r="B6" s="52"/>
      <x:c r="C6" s="52"/>
      <x:c r="D6" s="52"/>
      <x:c r="E6" s="52"/>
      <x:c r="F6" s="52"/>
      <x:c r="G6" s="52"/>
      <x:c r="H6" s="52"/>
      <x:c r="I6" s="52"/>
      <x:c r="J6" s="54"/>
      <x:c r="K6" s="54"/>
      <x:c r="L6" s="54"/>
      <x:c r="M6" s="52"/>
      <x:c r="N6" s="18"/>
    </x:row>
    <x:row r="7" ht="29" customHeight="1">
      <x:c r="A7" s="18" t="str">
        <x:v>2026-11-08</x:v>
      </x:c>
      <x:c r="B7" s="52"/>
      <x:c r="C7" s="52"/>
      <x:c r="D7" s="52"/>
      <x:c r="E7" s="52"/>
      <x:c r="F7" s="52"/>
      <x:c r="G7" s="52"/>
      <x:c r="H7" s="52"/>
      <x:c r="I7" s="52"/>
      <x:c r="J7" s="54"/>
      <x:c r="K7" s="54"/>
      <x:c r="L7" s="54"/>
      <x:c r="M7" s="52"/>
      <x:c r="N7" s="18"/>
    </x:row>
    <x:row r="8" ht="29" customHeight="1">
      <x:c r="A8" s="18" t="str">
        <x:v>2026-11-15</x:v>
      </x:c>
      <x:c r="B8" s="52"/>
      <x:c r="C8" s="52"/>
      <x:c r="D8" s="52"/>
      <x:c r="E8" s="52"/>
      <x:c r="F8" s="52"/>
      <x:c r="G8" s="52"/>
      <x:c r="H8" s="52"/>
      <x:c r="I8" s="52"/>
      <x:c r="J8" s="54"/>
      <x:c r="K8" s="54"/>
      <x:c r="L8" s="54"/>
      <x:c r="M8" s="52"/>
      <x:c r="N8" s="18"/>
    </x:row>
    <x:row r="9" ht="29" customHeight="1">
      <x:c r="A9" s="18" t="str">
        <x:v>2026-11-22</x:v>
      </x:c>
      <x:c r="B9" s="52"/>
      <x:c r="C9" s="52"/>
      <x:c r="D9" s="52"/>
      <x:c r="E9" s="52"/>
      <x:c r="F9" s="52"/>
      <x:c r="G9" s="52"/>
      <x:c r="H9" s="52"/>
      <x:c r="I9" s="52"/>
      <x:c r="J9" s="54"/>
      <x:c r="K9" s="54"/>
      <x:c r="L9" s="54"/>
      <x:c r="M9" s="52"/>
      <x:c r="N9" s="18"/>
    </x:row>
    <x:row r="10" ht="29" customHeight="1">
      <x:c r="A10" s="18" t="str">
        <x:v>2026-11-29</x:v>
      </x:c>
      <x:c r="B10" s="52"/>
      <x:c r="C10" s="52"/>
      <x:c r="D10" s="52"/>
      <x:c r="E10" s="52"/>
      <x:c r="F10" s="52"/>
      <x:c r="G10" s="52"/>
      <x:c r="H10" s="52"/>
      <x:c r="I10" s="52"/>
      <x:c r="J10" s="54"/>
      <x:c r="K10" s="54"/>
      <x:c r="L10" s="54"/>
      <x:c r="M10" s="52"/>
      <x:c r="N10" s="18"/>
    </x:row>
    <x:row r="11">
      <x:c r="A11" s="18"/>
      <x:c r="B11" s="18"/>
      <x:c r="C11" s="18"/>
      <x:c r="D11" s="18"/>
      <x:c r="E11" s="18"/>
      <x:c r="F11" s="18"/>
      <x:c r="G11" s="18"/>
      <x:c r="H11" s="18"/>
      <x:c r="I11" s="18"/>
      <x:c r="J11" s="18"/>
      <x:c r="K11" s="18"/>
      <x:c r="L11" s="18"/>
      <x:c r="M11" s="18"/>
      <x:c r="N11" s="18"/>
    </x:row>
    <x:row r="12">
      <x:c r="A12" s="18"/>
      <x:c r="B12" s="18"/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</x:row>
    <x:row r="13" ht="39" customHeight="1">
      <x:c r="A13" s="58" t="str">
        <x:v>WARNING: Blank means not reported. A zero means reviewed and confirmed zero. Entries in B–E are informational; dashboard uses Interview Log and Alpha Testers.</x:v>
      </x:c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</x:row>
    <x:row r="14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</x:row>
    <x:row r="15">
      <x:c r="A15" s="18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</x:row>
    <x:row r="16">
      <x:c r="A16" s="18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</x:row>
    <x:row r="17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</x:row>
    <x:row r="18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</x:row>
    <x:row r="19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</x:row>
    <x:row r="20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</x:row>
    <x:row r="2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</x:row>
    <x:row r="22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</x:row>
    <x:row r="23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</x:row>
  </x:sheetData>
  <x:mergeCells>
    <x:mergeCell ref="A1:N1"/>
    <x:mergeCell ref="A2:N2"/>
    <x:mergeCell ref="A13:N13"/>
  </x:mergeCells>
  <x:conditionalFormatting sqref="F5:I10">
    <x:cfRule type="dataBar" priority="1">
      <x:dataBar>
        <x:cfvo type="min"/>
        <x:cfvo type="max"/>
        <x:color rgb="FF087E8B"/>
      </x:dataBar>
      <x:extLst>
        <x:ext xmlns:x14="http://schemas.microsoft.com/office/spreadsheetml/2009/9/main" uri="{B025F937-C7B1-47D3-B67F-A62EFF666E3E}">
          <x14:id>{E8B33A61-8465-8C31-A82D-CA690EC182D6}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8B33A61-8465-8C31-A82D-CA690EC182D6}">
            <x14:dataBar gradient="1">
              <x14:cfvo type="min"/>
              <x14:cfvo type="max"/>
              <x14:fillColor rgb="FF087E8B"/>
            </x14:dataBar>
          </x14:cfRule>
          <xm:sqref>F5:I10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7" hidden="0" customWidth="1"/>
    <x:col min="3" max="3" width="27" hidden="0" customWidth="1"/>
    <x:col min="4" max="4" width="19" hidden="0" customWidth="1"/>
    <x:col min="5" max="5" width="25" hidden="0" customWidth="1"/>
    <x:col min="6" max="6" width="55" hidden="0" customWidth="1"/>
    <x:col min="7" max="7" width="40" hidden="0" customWidth="1"/>
    <x:col min="8" max="8" width="43" hidden="0" customWidth="1"/>
    <x:col min="9" max="9" width="27" hidden="0" customWidth="1"/>
    <x:col min="10" max="10" width="46" hidden="0" customWidth="1"/>
  </x:cols>
  <x:sheetData>
    <x:row r="1" ht="39" customHeight="1">
      <x:c r="A1" s="16" t="str">
        <x:v>CUSTOMER DISCOVERY LOG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31" customHeight="1">
      <x:c r="A2" s="17" t="str">
        <x:v>Use anonymized interview IDs. Do not store full names, personal emails, or proprietary code here.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</x:row>
    <x:row r="4" ht="30" customHeight="1">
      <x:c r="A4" s="25" t="str">
        <x:v>Interview ID</x:v>
      </x:c>
      <x:c r="B4" s="25" t="str">
        <x:v>Date</x:v>
      </x:c>
      <x:c r="C4" s="25" t="str">
        <x:v>Channel / persona</x:v>
      </x:c>
      <x:c r="D4" s="25" t="str">
        <x:v>Qualified?</x:v>
      </x:c>
      <x:c r="E4" s="25" t="str">
        <x:v>Specific recent incident?</x:v>
      </x:c>
      <x:c r="F4" s="25" t="str">
        <x:v>Incident / time lost (sanitized)</x:v>
      </x:c>
      <x:c r="G4" s="25" t="str">
        <x:v>Current workaround</x:v>
      </x:c>
      <x:c r="H4" s="25" t="str">
        <x:v>Top unmet pain</x:v>
      </x:c>
      <x:c r="I4" s="25" t="str">
        <x:v>Would pay after demo?</x:v>
      </x:c>
      <x:c r="J4" s="25" t="str">
        <x:v>Evidence / notes</x:v>
      </x:c>
    </x:row>
    <x:row r="5" ht="36" customHeight="1">
      <x:c r="A5" s="50"/>
      <x:c r="B5" s="50"/>
      <x:c r="C5" s="50"/>
      <x:c r="D5" s="50"/>
      <x:c r="E5" s="50"/>
      <x:c r="F5" s="50"/>
      <x:c r="G5" s="50"/>
      <x:c r="H5" s="50"/>
      <x:c r="I5" s="50"/>
      <x:c r="J5" s="50"/>
    </x:row>
    <x:row r="6" ht="36" customHeight="1">
      <x:c r="A6" s="50"/>
      <x:c r="B6" s="50"/>
      <x:c r="C6" s="50"/>
      <x:c r="D6" s="50"/>
      <x:c r="E6" s="50"/>
      <x:c r="F6" s="50"/>
      <x:c r="G6" s="50"/>
      <x:c r="H6" s="50"/>
      <x:c r="I6" s="50"/>
      <x:c r="J6" s="50"/>
    </x:row>
    <x:row r="7" ht="36" customHeight="1">
      <x:c r="A7" s="50"/>
      <x:c r="B7" s="50"/>
      <x:c r="C7" s="50"/>
      <x:c r="D7" s="50"/>
      <x:c r="E7" s="50"/>
      <x:c r="F7" s="50"/>
      <x:c r="G7" s="50"/>
      <x:c r="H7" s="50"/>
      <x:c r="I7" s="50"/>
      <x:c r="J7" s="50"/>
    </x:row>
    <x:row r="8" ht="36" customHeight="1">
      <x:c r="A8" s="50"/>
      <x:c r="B8" s="50"/>
      <x:c r="C8" s="50"/>
      <x:c r="D8" s="50"/>
      <x:c r="E8" s="50"/>
      <x:c r="F8" s="50"/>
      <x:c r="G8" s="50"/>
      <x:c r="H8" s="50"/>
      <x:c r="I8" s="50"/>
      <x:c r="J8" s="50"/>
    </x:row>
    <x:row r="9" ht="36" customHeight="1">
      <x:c r="A9" s="50"/>
      <x:c r="B9" s="50"/>
      <x:c r="C9" s="50"/>
      <x:c r="D9" s="50"/>
      <x:c r="E9" s="50"/>
      <x:c r="F9" s="50"/>
      <x:c r="G9" s="50"/>
      <x:c r="H9" s="50"/>
      <x:c r="I9" s="50"/>
      <x:c r="J9" s="50"/>
    </x:row>
    <x:row r="10" ht="36" customHeight="1">
      <x:c r="A10" s="50"/>
      <x:c r="B10" s="50"/>
      <x:c r="C10" s="50"/>
      <x:c r="D10" s="50"/>
      <x:c r="E10" s="50"/>
      <x:c r="F10" s="50"/>
      <x:c r="G10" s="50"/>
      <x:c r="H10" s="50"/>
      <x:c r="I10" s="50"/>
      <x:c r="J10" s="50"/>
    </x:row>
    <x:row r="11" ht="36" customHeight="1">
      <x:c r="A11" s="50"/>
      <x:c r="B11" s="50"/>
      <x:c r="C11" s="50"/>
      <x:c r="D11" s="50"/>
      <x:c r="E11" s="50"/>
      <x:c r="F11" s="50"/>
      <x:c r="G11" s="50"/>
      <x:c r="H11" s="50"/>
      <x:c r="I11" s="50"/>
      <x:c r="J11" s="50"/>
    </x:row>
    <x:row r="12" ht="36" customHeight="1">
      <x:c r="A12" s="50"/>
      <x:c r="B12" s="50"/>
      <x:c r="C12" s="50"/>
      <x:c r="D12" s="50"/>
      <x:c r="E12" s="50"/>
      <x:c r="F12" s="50"/>
      <x:c r="G12" s="50"/>
      <x:c r="H12" s="50"/>
      <x:c r="I12" s="50"/>
      <x:c r="J12" s="50"/>
    </x:row>
    <x:row r="13" ht="36" customHeight="1">
      <x:c r="A13" s="50"/>
      <x:c r="B13" s="50"/>
      <x:c r="C13" s="50"/>
      <x:c r="D13" s="50"/>
      <x:c r="E13" s="50"/>
      <x:c r="F13" s="50"/>
      <x:c r="G13" s="50"/>
      <x:c r="H13" s="50"/>
      <x:c r="I13" s="50"/>
      <x:c r="J13" s="50"/>
    </x:row>
    <x:row r="14" ht="36" customHeight="1">
      <x:c r="A14" s="50"/>
      <x:c r="B14" s="50"/>
      <x:c r="C14" s="50"/>
      <x:c r="D14" s="50"/>
      <x:c r="E14" s="50"/>
      <x:c r="F14" s="50"/>
      <x:c r="G14" s="50"/>
      <x:c r="H14" s="50"/>
      <x:c r="I14" s="50"/>
      <x:c r="J14" s="50"/>
    </x:row>
    <x:row r="15" ht="36" customHeight="1">
      <x:c r="A15" s="50"/>
      <x:c r="B15" s="50"/>
      <x:c r="C15" s="50"/>
      <x:c r="D15" s="50"/>
      <x:c r="E15" s="50"/>
      <x:c r="F15" s="50"/>
      <x:c r="G15" s="50"/>
      <x:c r="H15" s="50"/>
      <x:c r="I15" s="50"/>
      <x:c r="J15" s="50"/>
    </x:row>
    <x:row r="16" ht="36" customHeight="1">
      <x:c r="A16" s="50"/>
      <x:c r="B16" s="50"/>
      <x:c r="C16" s="50"/>
      <x:c r="D16" s="50"/>
      <x:c r="E16" s="50"/>
      <x:c r="F16" s="50"/>
      <x:c r="G16" s="50"/>
      <x:c r="H16" s="50"/>
      <x:c r="I16" s="50"/>
      <x:c r="J16" s="50"/>
    </x:row>
    <x:row r="17">
      <x:c r="A17" s="50"/>
      <x:c r="B17" s="50"/>
      <x:c r="C17" s="50"/>
      <x:c r="D17" s="50"/>
      <x:c r="E17" s="50"/>
      <x:c r="F17" s="50"/>
      <x:c r="G17" s="50"/>
      <x:c r="H17" s="50"/>
      <x:c r="I17" s="50"/>
      <x:c r="J17" s="50"/>
    </x:row>
    <x:row r="18">
      <x:c r="A18" s="50"/>
      <x:c r="B18" s="50"/>
      <x:c r="C18" s="50"/>
      <x:c r="D18" s="50"/>
      <x:c r="E18" s="50"/>
      <x:c r="F18" s="50"/>
      <x:c r="G18" s="50"/>
      <x:c r="H18" s="50"/>
      <x:c r="I18" s="50"/>
      <x:c r="J18" s="50"/>
    </x:row>
    <x:row r="19">
      <x:c r="A19" s="50"/>
      <x:c r="B19" s="50"/>
      <x:c r="C19" s="50"/>
      <x:c r="D19" s="50"/>
      <x:c r="E19" s="50"/>
      <x:c r="F19" s="50"/>
      <x:c r="G19" s="50"/>
      <x:c r="H19" s="50"/>
      <x:c r="I19" s="50"/>
      <x:c r="J19" s="50"/>
    </x:row>
    <x:row r="20">
      <x:c r="A20" s="50"/>
      <x:c r="B20" s="50"/>
      <x:c r="C20" s="50"/>
      <x:c r="D20" s="50"/>
      <x:c r="E20" s="50"/>
      <x:c r="F20" s="50"/>
      <x:c r="G20" s="50"/>
      <x:c r="H20" s="50"/>
      <x:c r="I20" s="50"/>
      <x:c r="J20" s="50"/>
    </x:row>
    <x:row r="21">
      <x:c r="A21" s="50"/>
      <x:c r="B21" s="50"/>
      <x:c r="C21" s="50"/>
      <x:c r="D21" s="50"/>
      <x:c r="E21" s="50"/>
      <x:c r="F21" s="50"/>
      <x:c r="G21" s="50"/>
      <x:c r="H21" s="50"/>
      <x:c r="I21" s="50"/>
      <x:c r="J21" s="50"/>
    </x:row>
    <x:row r="22">
      <x:c r="A22" s="50"/>
      <x:c r="B22" s="50"/>
      <x:c r="C22" s="50"/>
      <x:c r="D22" s="50"/>
      <x:c r="E22" s="50"/>
      <x:c r="F22" s="50"/>
      <x:c r="G22" s="50"/>
      <x:c r="H22" s="50"/>
      <x:c r="I22" s="50"/>
      <x:c r="J22" s="50"/>
    </x:row>
    <x:row r="23">
      <x:c r="A23" s="50"/>
      <x:c r="B23" s="50"/>
      <x:c r="C23" s="50"/>
      <x:c r="D23" s="50"/>
      <x:c r="E23" s="50"/>
      <x:c r="F23" s="50"/>
      <x:c r="G23" s="50"/>
      <x:c r="H23" s="50"/>
      <x:c r="I23" s="50"/>
      <x:c r="J23" s="50"/>
    </x:row>
    <x:row r="24">
      <x:c r="A24" s="50"/>
      <x:c r="B24" s="50"/>
      <x:c r="C24" s="50"/>
      <x:c r="D24" s="50"/>
      <x:c r="E24" s="50"/>
      <x:c r="F24" s="50"/>
      <x:c r="G24" s="50"/>
      <x:c r="H24" s="50"/>
      <x:c r="I24" s="50"/>
      <x:c r="J24" s="50"/>
    </x:row>
    <x:row r="25">
      <x:c r="A25" s="50"/>
      <x:c r="B25" s="50"/>
      <x:c r="C25" s="50"/>
      <x:c r="D25" s="50"/>
      <x:c r="E25" s="50"/>
      <x:c r="F25" s="50"/>
      <x:c r="G25" s="50"/>
      <x:c r="H25" s="50"/>
      <x:c r="I25" s="50"/>
      <x:c r="J25" s="50"/>
    </x:row>
    <x:row r="26">
      <x:c r="A26" s="50"/>
      <x:c r="B26" s="50"/>
      <x:c r="C26" s="50"/>
      <x:c r="D26" s="50"/>
      <x:c r="E26" s="50"/>
      <x:c r="F26" s="50"/>
      <x:c r="G26" s="50"/>
      <x:c r="H26" s="50"/>
      <x:c r="I26" s="50"/>
      <x:c r="J26" s="50"/>
    </x:row>
    <x:row r="27">
      <x:c r="A27" s="50"/>
      <x:c r="B27" s="50"/>
      <x:c r="C27" s="50"/>
      <x:c r="D27" s="50"/>
      <x:c r="E27" s="50"/>
      <x:c r="F27" s="50"/>
      <x:c r="G27" s="50"/>
      <x:c r="H27" s="50"/>
      <x:c r="I27" s="50"/>
      <x:c r="J27" s="50"/>
    </x:row>
    <x:row r="28">
      <x:c r="A28" s="50"/>
      <x:c r="B28" s="50"/>
      <x:c r="C28" s="50"/>
      <x:c r="D28" s="50"/>
      <x:c r="E28" s="50"/>
      <x:c r="F28" s="50"/>
      <x:c r="G28" s="50"/>
      <x:c r="H28" s="50"/>
      <x:c r="I28" s="50"/>
      <x:c r="J28" s="50"/>
    </x:row>
    <x:row r="29">
      <x:c r="A29" s="50"/>
      <x:c r="B29" s="50"/>
      <x:c r="C29" s="50"/>
      <x:c r="D29" s="50"/>
      <x:c r="E29" s="50"/>
      <x:c r="F29" s="50"/>
      <x:c r="G29" s="50"/>
      <x:c r="H29" s="50"/>
      <x:c r="I29" s="50"/>
      <x:c r="J29" s="50"/>
    </x:row>
    <x:row r="30">
      <x:c r="A30" s="50"/>
      <x:c r="B30" s="50"/>
      <x:c r="C30" s="50"/>
      <x:c r="D30" s="50"/>
      <x:c r="E30" s="50"/>
      <x:c r="F30" s="50"/>
      <x:c r="G30" s="50"/>
      <x:c r="H30" s="50"/>
      <x:c r="I30" s="50"/>
      <x:c r="J30" s="50"/>
    </x:row>
    <x:row r="31">
      <x:c r="A31" s="50"/>
      <x:c r="B31" s="50"/>
      <x:c r="C31" s="50"/>
      <x:c r="D31" s="50"/>
      <x:c r="E31" s="50"/>
      <x:c r="F31" s="50"/>
      <x:c r="G31" s="50"/>
      <x:c r="H31" s="50"/>
      <x:c r="I31" s="50"/>
      <x:c r="J31" s="50"/>
    </x:row>
    <x:row r="32">
      <x:c r="A32" s="50"/>
      <x:c r="B32" s="50"/>
      <x:c r="C32" s="50"/>
      <x:c r="D32" s="50"/>
      <x:c r="E32" s="50"/>
      <x:c r="F32" s="50"/>
      <x:c r="G32" s="50"/>
      <x:c r="H32" s="50"/>
      <x:c r="I32" s="50"/>
      <x:c r="J32" s="50"/>
    </x:row>
    <x:row r="33">
      <x:c r="A33" s="50"/>
      <x:c r="B33" s="50"/>
      <x:c r="C33" s="50"/>
      <x:c r="D33" s="50"/>
      <x:c r="E33" s="50"/>
      <x:c r="F33" s="50"/>
      <x:c r="G33" s="50"/>
      <x:c r="H33" s="50"/>
      <x:c r="I33" s="50"/>
      <x:c r="J33" s="50"/>
    </x:row>
    <x:row r="34">
      <x:c r="A34" s="50"/>
      <x:c r="B34" s="50"/>
      <x:c r="C34" s="50"/>
      <x:c r="D34" s="50"/>
      <x:c r="E34" s="50"/>
      <x:c r="F34" s="50"/>
      <x:c r="G34" s="50"/>
      <x:c r="H34" s="50"/>
      <x:c r="I34" s="50"/>
      <x:c r="J34" s="50"/>
    </x:row>
    <x:row r="35">
      <x:c r="A35" s="50"/>
      <x:c r="B35" s="50"/>
      <x:c r="C35" s="50"/>
      <x:c r="D35" s="50"/>
      <x:c r="E35" s="50"/>
      <x:c r="F35" s="50"/>
      <x:c r="G35" s="50"/>
      <x:c r="H35" s="50"/>
      <x:c r="I35" s="50"/>
      <x:c r="J35" s="50"/>
    </x:row>
    <x:row r="36">
      <x:c r="A36" s="50"/>
      <x:c r="B36" s="50"/>
      <x:c r="C36" s="50"/>
      <x:c r="D36" s="50"/>
      <x:c r="E36" s="50"/>
      <x:c r="F36" s="50"/>
      <x:c r="G36" s="50"/>
      <x:c r="H36" s="50"/>
      <x:c r="I36" s="50"/>
      <x:c r="J36" s="50"/>
    </x:row>
    <x:row r="37">
      <x:c r="A37" s="50"/>
      <x:c r="B37" s="50"/>
      <x:c r="C37" s="50"/>
      <x:c r="D37" s="50"/>
      <x:c r="E37" s="50"/>
      <x:c r="F37" s="50"/>
      <x:c r="G37" s="50"/>
      <x:c r="H37" s="50"/>
      <x:c r="I37" s="50"/>
      <x:c r="J37" s="50"/>
    </x:row>
    <x:row r="38">
      <x:c r="A38" s="50"/>
      <x:c r="B38" s="50"/>
      <x:c r="C38" s="50"/>
      <x:c r="D38" s="50"/>
      <x:c r="E38" s="50"/>
      <x:c r="F38" s="50"/>
      <x:c r="G38" s="50"/>
      <x:c r="H38" s="50"/>
      <x:c r="I38" s="50"/>
      <x:c r="J38" s="50"/>
    </x:row>
    <x:row r="39">
      <x:c r="A39" s="50"/>
      <x:c r="B39" s="50"/>
      <x:c r="C39" s="50"/>
      <x:c r="D39" s="50"/>
      <x:c r="E39" s="50"/>
      <x:c r="F39" s="50"/>
      <x:c r="G39" s="50"/>
      <x:c r="H39" s="50"/>
      <x:c r="I39" s="50"/>
      <x:c r="J39" s="50"/>
    </x:row>
    <x:row r="40">
      <x:c r="A40" s="50"/>
      <x:c r="B40" s="50"/>
      <x:c r="C40" s="50"/>
      <x:c r="D40" s="50"/>
      <x:c r="E40" s="50"/>
      <x:c r="F40" s="50"/>
      <x:c r="G40" s="50"/>
      <x:c r="H40" s="50"/>
      <x:c r="I40" s="50"/>
      <x:c r="J40" s="50"/>
    </x:row>
    <x:row r="41">
      <x:c r="A41" s="18"/>
      <x:c r="B41" s="18"/>
      <x:c r="C41" s="18"/>
      <x:c r="D41" s="18"/>
      <x:c r="E41" s="18"/>
      <x:c r="F41" s="18"/>
      <x:c r="G41" s="18"/>
      <x:c r="H41" s="18"/>
      <x:c r="I41" s="18"/>
      <x:c r="J41" s="18"/>
    </x:row>
    <x:row r="42">
      <x:c r="A42" s="18"/>
      <x:c r="B42" s="18"/>
      <x:c r="C42" s="18"/>
      <x:c r="D42" s="18"/>
      <x:c r="E42" s="18"/>
      <x:c r="F42" s="18"/>
      <x:c r="G42" s="18"/>
      <x:c r="H42" s="18"/>
      <x:c r="I42" s="18"/>
      <x:c r="J42" s="18"/>
    </x:row>
  </x:sheetData>
  <x:mergeCells>
    <x:mergeCell ref="A1:J1"/>
    <x:mergeCell ref="A2:J2"/>
  </x:mergeCells>
  <x:dataValidations count="2">
    <x:dataValidation type="list" sqref="D5:E40">
      <x:formula1>"Yes,No,Unknown"</x:formula1>
    </x:dataValidation>
    <x:dataValidation type="list" sqref="I5:I40">
      <x:formula1>"Yes,No,Maybe,Not asked"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8" hidden="0" customWidth="1"/>
    <x:col min="3" max="3" width="20" hidden="0" customWidth="1"/>
    <x:col min="4" max="4" width="47" hidden="0" customWidth="1"/>
    <x:col min="5" max="5" width="20" hidden="0" customWidth="1"/>
    <x:col min="6" max="6" width="56" hidden="0" customWidth="1"/>
    <x:col min="7" max="7" width="20" hidden="0" customWidth="1"/>
    <x:col min="8" max="8" width="20" hidden="0" customWidth="1"/>
    <x:col min="9" max="9" width="58" hidden="0" customWidth="1"/>
  </x:cols>
  <x:sheetData>
    <x:row r="1" ht="39" customHeight="1">
      <x:c r="A1" s="16" t="str">
        <x:v>ALPHA TESTER LOG</x:v>
      </x:c>
      <x:c r="B1" s="16"/>
      <x:c r="C1" s="16"/>
      <x:c r="D1" s="16"/>
      <x:c r="E1" s="16"/>
      <x:c r="F1" s="16"/>
      <x:c r="G1" s="16"/>
      <x:c r="H1" s="16"/>
      <x:c r="I1" s="16"/>
    </x:row>
    <x:row r="2" ht="31" customHeight="1">
      <x:c r="A2" s="17" t="str">
        <x:v>One tester per row. Completion means independently finished inspect → claim → check → handoff.</x:v>
      </x:c>
      <x:c r="B2" s="17"/>
      <x:c r="C2" s="17"/>
      <x:c r="D2" s="17"/>
      <x:c r="E2" s="17"/>
      <x:c r="F2" s="17"/>
      <x:c r="G2" s="17"/>
      <x:c r="H2" s="17"/>
      <x:c r="I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</x:row>
    <x:row r="4" ht="30" customHeight="1">
      <x:c r="A4" s="25" t="str">
        <x:v>Tester ID</x:v>
      </x:c>
      <x:c r="B4" s="25" t="str">
        <x:v>Date</x:v>
      </x:c>
      <x:c r="C4" s="25" t="str">
        <x:v>Qualified?</x:v>
      </x:c>
      <x:c r="D4" s="25" t="str">
        <x:v>Completed scenario? (notes)</x:v>
      </x:c>
      <x:c r="E4" s="25" t="str">
        <x:v>Completed?</x:v>
      </x:c>
      <x:c r="F4" s="25" t="str">
        <x:v>Usability issue</x:v>
      </x:c>
      <x:c r="G4" s="25" t="str">
        <x:v>Would use again?</x:v>
      </x:c>
      <x:c r="H4" s="25" t="str">
        <x:v>Safety issue?</x:v>
      </x:c>
      <x:c r="I4" s="25" t="str">
        <x:v>Evidence / follow-up</x:v>
      </x:c>
    </x:row>
    <x:row r="5" ht="35" customHeight="1">
      <x:c r="A5" s="50"/>
      <x:c r="B5" s="50"/>
      <x:c r="C5" s="50"/>
      <x:c r="D5" s="50"/>
      <x:c r="E5" s="50"/>
      <x:c r="F5" s="50"/>
      <x:c r="G5" s="50"/>
      <x:c r="H5" s="50"/>
      <x:c r="I5" s="50"/>
    </x:row>
    <x:row r="6" ht="35" customHeight="1">
      <x:c r="A6" s="50"/>
      <x:c r="B6" s="50"/>
      <x:c r="C6" s="50"/>
      <x:c r="D6" s="50"/>
      <x:c r="E6" s="50"/>
      <x:c r="F6" s="50"/>
      <x:c r="G6" s="50"/>
      <x:c r="H6" s="50"/>
      <x:c r="I6" s="50"/>
    </x:row>
    <x:row r="7" ht="35" customHeight="1">
      <x:c r="A7" s="50"/>
      <x:c r="B7" s="50"/>
      <x:c r="C7" s="50"/>
      <x:c r="D7" s="50"/>
      <x:c r="E7" s="50"/>
      <x:c r="F7" s="50"/>
      <x:c r="G7" s="50"/>
      <x:c r="H7" s="50"/>
      <x:c r="I7" s="50"/>
    </x:row>
    <x:row r="8" ht="35" customHeight="1">
      <x:c r="A8" s="50"/>
      <x:c r="B8" s="50"/>
      <x:c r="C8" s="50"/>
      <x:c r="D8" s="50"/>
      <x:c r="E8" s="50"/>
      <x:c r="F8" s="50"/>
      <x:c r="G8" s="50"/>
      <x:c r="H8" s="50"/>
      <x:c r="I8" s="50"/>
    </x:row>
    <x:row r="9" ht="35" customHeight="1">
      <x:c r="A9" s="50"/>
      <x:c r="B9" s="50"/>
      <x:c r="C9" s="50"/>
      <x:c r="D9" s="50"/>
      <x:c r="E9" s="50"/>
      <x:c r="F9" s="50"/>
      <x:c r="G9" s="50"/>
      <x:c r="H9" s="50"/>
      <x:c r="I9" s="50"/>
    </x:row>
    <x:row r="10" ht="35" customHeight="1">
      <x:c r="A10" s="50"/>
      <x:c r="B10" s="50"/>
      <x:c r="C10" s="50"/>
      <x:c r="D10" s="50"/>
      <x:c r="E10" s="50"/>
      <x:c r="F10" s="50"/>
      <x:c r="G10" s="50"/>
      <x:c r="H10" s="50"/>
      <x:c r="I10" s="50"/>
    </x:row>
    <x:row r="11" ht="35" customHeight="1">
      <x:c r="A11" s="50"/>
      <x:c r="B11" s="50"/>
      <x:c r="C11" s="50"/>
      <x:c r="D11" s="50"/>
      <x:c r="E11" s="50"/>
      <x:c r="F11" s="50"/>
      <x:c r="G11" s="50"/>
      <x:c r="H11" s="50"/>
      <x:c r="I11" s="50"/>
    </x:row>
    <x:row r="12" ht="35" customHeight="1">
      <x:c r="A12" s="50"/>
      <x:c r="B12" s="50"/>
      <x:c r="C12" s="50"/>
      <x:c r="D12" s="50"/>
      <x:c r="E12" s="50"/>
      <x:c r="F12" s="50"/>
      <x:c r="G12" s="50"/>
      <x:c r="H12" s="50"/>
      <x:c r="I12" s="50"/>
    </x:row>
    <x:row r="13" ht="35" customHeight="1">
      <x:c r="A13" s="50"/>
      <x:c r="B13" s="50"/>
      <x:c r="C13" s="50"/>
      <x:c r="D13" s="50"/>
      <x:c r="E13" s="50"/>
      <x:c r="F13" s="50"/>
      <x:c r="G13" s="50"/>
      <x:c r="H13" s="50"/>
      <x:c r="I13" s="50"/>
    </x:row>
    <x:row r="14" ht="35" customHeight="1">
      <x:c r="A14" s="50"/>
      <x:c r="B14" s="50"/>
      <x:c r="C14" s="50"/>
      <x:c r="D14" s="50"/>
      <x:c r="E14" s="50"/>
      <x:c r="F14" s="50"/>
      <x:c r="G14" s="50"/>
      <x:c r="H14" s="50"/>
      <x:c r="I14" s="50"/>
    </x:row>
    <x:row r="15" ht="35" customHeight="1">
      <x:c r="A15" s="50"/>
      <x:c r="B15" s="50"/>
      <x:c r="C15" s="50"/>
      <x:c r="D15" s="50"/>
      <x:c r="E15" s="50"/>
      <x:c r="F15" s="50"/>
      <x:c r="G15" s="50"/>
      <x:c r="H15" s="50"/>
      <x:c r="I15" s="50"/>
    </x:row>
    <x:row r="16">
      <x:c r="A16" s="50"/>
      <x:c r="B16" s="50"/>
      <x:c r="C16" s="50"/>
      <x:c r="D16" s="50"/>
      <x:c r="E16" s="50"/>
      <x:c r="F16" s="50"/>
      <x:c r="G16" s="50"/>
      <x:c r="H16" s="50"/>
      <x:c r="I16" s="50"/>
    </x:row>
    <x:row r="17">
      <x:c r="A17" s="50"/>
      <x:c r="B17" s="50"/>
      <x:c r="C17" s="50"/>
      <x:c r="D17" s="50"/>
      <x:c r="E17" s="50"/>
      <x:c r="F17" s="50"/>
      <x:c r="G17" s="50"/>
      <x:c r="H17" s="50"/>
      <x:c r="I17" s="50"/>
    </x:row>
    <x:row r="18">
      <x:c r="A18" s="50"/>
      <x:c r="B18" s="50"/>
      <x:c r="C18" s="50"/>
      <x:c r="D18" s="50"/>
      <x:c r="E18" s="50"/>
      <x:c r="F18" s="50"/>
      <x:c r="G18" s="50"/>
      <x:c r="H18" s="50"/>
      <x:c r="I18" s="50"/>
    </x:row>
    <x:row r="19">
      <x:c r="A19" s="50"/>
      <x:c r="B19" s="50"/>
      <x:c r="C19" s="50"/>
      <x:c r="D19" s="50"/>
      <x:c r="E19" s="50"/>
      <x:c r="F19" s="50"/>
      <x:c r="G19" s="50"/>
      <x:c r="H19" s="50"/>
      <x:c r="I19" s="50"/>
    </x:row>
    <x:row r="20">
      <x:c r="A20" s="50"/>
      <x:c r="B20" s="50"/>
      <x:c r="C20" s="50"/>
      <x:c r="D20" s="50"/>
      <x:c r="E20" s="50"/>
      <x:c r="F20" s="50"/>
      <x:c r="G20" s="50"/>
      <x:c r="H20" s="50"/>
      <x:c r="I20" s="50"/>
    </x:row>
    <x:row r="21">
      <x:c r="A21" s="50"/>
      <x:c r="B21" s="50"/>
      <x:c r="C21" s="50"/>
      <x:c r="D21" s="50"/>
      <x:c r="E21" s="50"/>
      <x:c r="F21" s="50"/>
      <x:c r="G21" s="50"/>
      <x:c r="H21" s="50"/>
      <x:c r="I21" s="50"/>
    </x:row>
    <x:row r="22">
      <x:c r="A22" s="50"/>
      <x:c r="B22" s="50"/>
      <x:c r="C22" s="50"/>
      <x:c r="D22" s="50"/>
      <x:c r="E22" s="50"/>
      <x:c r="F22" s="50"/>
      <x:c r="G22" s="50"/>
      <x:c r="H22" s="50"/>
      <x:c r="I22" s="50"/>
    </x:row>
    <x:row r="23">
      <x:c r="A23" s="50"/>
      <x:c r="B23" s="50"/>
      <x:c r="C23" s="50"/>
      <x:c r="D23" s="50"/>
      <x:c r="E23" s="50"/>
      <x:c r="F23" s="50"/>
      <x:c r="G23" s="50"/>
      <x:c r="H23" s="50"/>
      <x:c r="I23" s="50"/>
    </x:row>
    <x:row r="24">
      <x:c r="A24" s="50"/>
      <x:c r="B24" s="50"/>
      <x:c r="C24" s="50"/>
      <x:c r="D24" s="50"/>
      <x:c r="E24" s="50"/>
      <x:c r="F24" s="50"/>
      <x:c r="G24" s="50"/>
      <x:c r="H24" s="50"/>
      <x:c r="I24" s="50"/>
    </x:row>
    <x:row r="25">
      <x:c r="A25" s="50"/>
      <x:c r="B25" s="50"/>
      <x:c r="C25" s="50"/>
      <x:c r="D25" s="50"/>
      <x:c r="E25" s="50"/>
      <x:c r="F25" s="50"/>
      <x:c r="G25" s="50"/>
      <x:c r="H25" s="50"/>
      <x:c r="I25" s="50"/>
    </x:row>
    <x:row r="26">
      <x:c r="A26" s="50"/>
      <x:c r="B26" s="50"/>
      <x:c r="C26" s="50"/>
      <x:c r="D26" s="50"/>
      <x:c r="E26" s="50"/>
      <x:c r="F26" s="50"/>
      <x:c r="G26" s="50"/>
      <x:c r="H26" s="50"/>
      <x:c r="I26" s="50"/>
    </x:row>
    <x:row r="27">
      <x:c r="A27" s="50"/>
      <x:c r="B27" s="50"/>
      <x:c r="C27" s="50"/>
      <x:c r="D27" s="50"/>
      <x:c r="E27" s="50"/>
      <x:c r="F27" s="50"/>
      <x:c r="G27" s="50"/>
      <x:c r="H27" s="50"/>
      <x:c r="I27" s="50"/>
    </x:row>
    <x:row r="28">
      <x:c r="A28" s="50"/>
      <x:c r="B28" s="50"/>
      <x:c r="C28" s="50"/>
      <x:c r="D28" s="50"/>
      <x:c r="E28" s="50"/>
      <x:c r="F28" s="50"/>
      <x:c r="G28" s="50"/>
      <x:c r="H28" s="50"/>
      <x:c r="I28" s="50"/>
    </x:row>
    <x:row r="29">
      <x:c r="A29" s="50"/>
      <x:c r="B29" s="50"/>
      <x:c r="C29" s="50"/>
      <x:c r="D29" s="50"/>
      <x:c r="E29" s="50"/>
      <x:c r="F29" s="50"/>
      <x:c r="G29" s="50"/>
      <x:c r="H29" s="50"/>
      <x:c r="I29" s="50"/>
    </x:row>
    <x:row r="30">
      <x:c r="A30" s="50"/>
      <x:c r="B30" s="50"/>
      <x:c r="C30" s="50"/>
      <x:c r="D30" s="50"/>
      <x:c r="E30" s="50"/>
      <x:c r="F30" s="50"/>
      <x:c r="G30" s="50"/>
      <x:c r="H30" s="50"/>
      <x:c r="I30" s="50"/>
    </x:row>
    <x:row r="31">
      <x:c r="A31" s="18"/>
      <x:c r="B31" s="18"/>
      <x:c r="C31" s="18"/>
      <x:c r="D31" s="18"/>
      <x:c r="E31" s="18"/>
      <x:c r="F31" s="18"/>
      <x:c r="G31" s="18"/>
      <x:c r="H31" s="18"/>
      <x:c r="I31" s="18"/>
    </x:row>
    <x:row r="32">
      <x:c r="A32" s="18"/>
      <x:c r="B32" s="18"/>
      <x:c r="C32" s="18"/>
      <x:c r="D32" s="18"/>
      <x:c r="E32" s="18"/>
      <x:c r="F32" s="18"/>
      <x:c r="G32" s="18"/>
      <x:c r="H32" s="18"/>
      <x:c r="I32" s="18"/>
    </x:row>
    <x:row r="33">
      <x:c r="A33" s="18"/>
      <x:c r="B33" s="18"/>
      <x:c r="C33" s="18"/>
      <x:c r="D33" s="18"/>
      <x:c r="E33" s="18"/>
      <x:c r="F33" s="18"/>
      <x:c r="G33" s="18"/>
      <x:c r="H33" s="18"/>
      <x:c r="I33" s="18"/>
    </x:row>
    <x:row r="34">
      <x:c r="A34" s="18"/>
      <x:c r="B34" s="18"/>
      <x:c r="C34" s="18"/>
      <x:c r="D34" s="18"/>
      <x:c r="E34" s="18"/>
      <x:c r="F34" s="18"/>
      <x:c r="G34" s="18"/>
      <x:c r="H34" s="18"/>
      <x:c r="I34" s="18"/>
    </x:row>
  </x:sheetData>
  <x:mergeCells>
    <x:mergeCell ref="A1:I1"/>
    <x:mergeCell ref="A2:I2"/>
  </x:mergeCells>
  <x:dataValidations count="3">
    <x:dataValidation type="list" sqref="C5:C30">
      <x:formula1>"Yes,No,Unknown"</x:formula1>
    </x:dataValidation>
    <x:dataValidation type="list" sqref="E5:E30">
      <x:formula1>"Yes,No"</x:formula1>
    </x:dataValidation>
    <x:dataValidation type="list" sqref="G5:H30">
      <x:formula1>"Yes,No,Unknown"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39" hidden="0" customWidth="1"/>
    <x:col min="3" max="3" width="17" hidden="0" customWidth="1"/>
    <x:col min="4" max="4" width="17" hidden="0" customWidth="1"/>
    <x:col min="5" max="5" width="52" hidden="0" customWidth="1"/>
    <x:col min="6" max="6" width="52" hidden="0" customWidth="1"/>
    <x:col min="7" max="7" width="20" hidden="0" customWidth="1"/>
    <x:col min="8" max="8" width="17" hidden="0" customWidth="1"/>
  </x:cols>
  <x:sheetData>
    <x:row r="1" ht="39" customHeight="1">
      <x:c r="A1" s="16" t="str">
        <x:v>RISK REGISTER</x:v>
      </x:c>
      <x:c r="B1" s="16"/>
      <x:c r="C1" s="16"/>
      <x:c r="D1" s="16"/>
      <x:c r="E1" s="16"/>
      <x:c r="F1" s="16"/>
      <x:c r="G1" s="16"/>
      <x:c r="H1" s="16"/>
    </x:row>
    <x:row r="2" ht="31" customHeight="1">
      <x:c r="A2" s="17" t="str">
        <x:v>Owner reviews risks each Monday; every safety incident blocks release until resolved.</x:v>
      </x:c>
      <x:c r="B2" s="17"/>
      <x:c r="C2" s="17"/>
      <x:c r="D2" s="17"/>
      <x:c r="E2" s="17"/>
      <x:c r="F2" s="17"/>
      <x:c r="G2" s="17"/>
      <x:c r="H2" s="17"/>
    </x:row>
    <x:row r="3">
      <x:c r="A3" s="18"/>
      <x:c r="B3" s="18"/>
      <x:c r="C3" s="18"/>
      <x:c r="D3" s="18"/>
      <x:c r="E3" s="18"/>
      <x:c r="F3" s="18"/>
      <x:c r="G3" s="18"/>
      <x:c r="H3" s="18"/>
    </x:row>
    <x:row r="4" ht="30" customHeight="1">
      <x:c r="A4" s="25" t="str">
        <x:v>Risk ID</x:v>
      </x:c>
      <x:c r="B4" s="25" t="str">
        <x:v>Risk</x:v>
      </x:c>
      <x:c r="C4" s="25" t="str">
        <x:v>Likelihood</x:v>
      </x:c>
      <x:c r="D4" s="25" t="str">
        <x:v>Impact</x:v>
      </x:c>
      <x:c r="E4" s="25" t="str">
        <x:v>Mitigation</x:v>
      </x:c>
      <x:c r="F4" s="25" t="str">
        <x:v>Trigger / evidence</x:v>
      </x:c>
      <x:c r="G4" s="25" t="str">
        <x:v>Owner</x:v>
      </x:c>
      <x:c r="H4" s="25" t="str">
        <x:v>Status</x:v>
      </x:c>
    </x:row>
    <x:row r="5" ht="52" customHeight="1">
      <x:c r="A5" s="50" t="str">
        <x:v>R1</x:v>
      </x:c>
      <x:c r="B5" s="50" t="str">
        <x:v>Existing tools already solve buyer pain</x:v>
      </x:c>
      <x:c r="C5" s="50" t="str">
        <x:v>High</x:v>
      </x:c>
      <x:c r="D5" s="50" t="str">
        <x:v>High</x:v>
      </x:c>
      <x:c r="E5" s="50" t="str">
        <x:v>Validate unmet gap with real users</x:v>
      </x:c>
      <x:c r="F5" s="50" t="str">
        <x:v>&lt;5 verified pain interviewees</x:v>
      </x:c>
      <x:c r="G5" s="50" t="str">
        <x:v>Founder</x:v>
      </x:c>
      <x:c r="H5" s="50" t="str">
        <x:v>Open</x:v>
      </x:c>
    </x:row>
    <x:row r="6" ht="52" customHeight="1">
      <x:c r="A6" s="50" t="str">
        <x:v>R2</x:v>
      </x:c>
      <x:c r="B6" s="50" t="str">
        <x:v>Unexplainable false positives</x:v>
      </x:c>
      <x:c r="C6" s="50" t="str">
        <x:v>Medium</x:v>
      </x:c>
      <x:c r="D6" s="50" t="str">
        <x:v>High</x:v>
      </x:c>
      <x:c r="E6" s="50" t="str">
        <x:v>Explain warnings; fixtures and label confidence</x:v>
      </x:c>
      <x:c r="F6" s="50" t="str">
        <x:v>&gt;20% false warnings on labeled alpha fixtures</x:v>
      </x:c>
      <x:c r="G6" s="50" t="str">
        <x:v>Engineering</x:v>
      </x:c>
      <x:c r="H6" s="50" t="str">
        <x:v>Open</x:v>
      </x:c>
    </x:row>
    <x:row r="7" ht="52" customHeight="1">
      <x:c r="A7" s="50" t="str">
        <x:v>R3</x:v>
      </x:c>
      <x:c r="B7" s="50" t="str">
        <x:v>Missed overlap gives false safety</x:v>
      </x:c>
      <x:c r="C7" s="50" t="str">
        <x:v>Medium</x:v>
      </x:c>
      <x:c r="D7" s="50" t="str">
        <x:v>High</x:v>
      </x:c>
      <x:c r="E7" s="50" t="str">
        <x:v>Advisory-only; edge cases; no safety guarantee</x:v>
      </x:c>
      <x:c r="F7" s="50" t="str">
        <x:v>Known overlapping fixture not detected</x:v>
      </x:c>
      <x:c r="G7" s="50" t="str">
        <x:v>Engineering</x:v>
      </x:c>
      <x:c r="H7" s="50" t="str">
        <x:v>Open</x:v>
      </x:c>
    </x:row>
    <x:row r="8" ht="52" customHeight="1">
      <x:c r="A8" s="50" t="str">
        <x:v>R4</x:v>
      </x:c>
      <x:c r="B8" s="50" t="str">
        <x:v>Secret leakage / destructive repo ops</x:v>
      </x:c>
      <x:c r="C8" s="50" t="str">
        <x:v>Low</x:v>
      </x:c>
      <x:c r="D8" s="50" t="str">
        <x:v>Critical</x:v>
      </x:c>
      <x:c r="E8" s="50" t="str">
        <x:v>Offline default; explicit writes; secure process execution</x:v>
      </x:c>
      <x:c r="F8" s="50" t="str">
        <x:v>Any unapproved repo write or egress</x:v>
      </x:c>
      <x:c r="G8" s="50" t="str">
        <x:v>Founder</x:v>
      </x:c>
      <x:c r="H8" s="50" t="str">
        <x:v>Open</x:v>
      </x:c>
    </x:row>
    <x:row r="9" ht="52" customHeight="1">
      <x:c r="A9" s="50" t="str">
        <x:v>R5</x:v>
      </x:c>
      <x:c r="B9" s="50" t="str">
        <x:v>No reason to pay over free tools</x:v>
      </x:c>
      <x:c r="C9" s="50" t="str">
        <x:v>High</x:v>
      </x:c>
      <x:c r="D9" s="50" t="str">
        <x:v>Medium</x:v>
      </x:c>
      <x:c r="E9" s="50" t="str">
        <x:v>Test differentiated paid feature and support</x:v>
      </x:c>
      <x:c r="F9" s="50" t="str">
        <x:v>No credible paid signals after qualified demos</x:v>
      </x:c>
      <x:c r="G9" s="50" t="str">
        <x:v>Founder</x:v>
      </x:c>
      <x:c r="H9" s="50" t="str">
        <x:v>Open</x:v>
      </x:c>
    </x:row>
    <x:row r="10" ht="52" customHeight="1">
      <x:c r="A10" s="50" t="str">
        <x:v>R6</x:v>
      </x:c>
      <x:c r="B10" s="50" t="str">
        <x:v>Too much engineering before demand proof</x:v>
      </x:c>
      <x:c r="C10" s="50" t="str">
        <x:v>Medium</x:v>
      </x:c>
      <x:c r="D10" s="50" t="str">
        <x:v>High</x:v>
      </x:c>
      <x:c r="E10" s="50" t="str">
        <x:v>G1 gate first; cap P0 scope</x:v>
      </x:c>
      <x:c r="F10" s="50" t="str">
        <x:v>UI/backend built before validated gap</x:v>
      </x:c>
      <x:c r="G10" s="50" t="str">
        <x:v>Founder</x:v>
      </x:c>
      <x:c r="H10" s="50" t="str">
        <x:v>Open</x:v>
      </x:c>
    </x:row>
    <x:row r="11" ht="52" customHeight="1">
      <x:c r="A11" s="50" t="str">
        <x:v>R7</x:v>
      </x:c>
      <x:c r="B11" s="50" t="str">
        <x:v>Company/third-party license conflicts</x:v>
      </x:c>
      <x:c r="C11" s="50" t="str">
        <x:v>Medium</x:v>
      </x:c>
      <x:c r="D11" s="50" t="str">
        <x:v>High</x:v>
      </x:c>
      <x:c r="E11" s="50" t="str">
        <x:v>Synthetic examples; provenance review</x:v>
      </x:c>
      <x:c r="F11" s="50" t="str">
        <x:v>Unapproved reuse of proprietary material</x:v>
      </x:c>
      <x:c r="G11" s="50" t="str">
        <x:v>Founder</x:v>
      </x:c>
      <x:c r="H11" s="50" t="str">
        <x:v>Open</x:v>
      </x:c>
    </x:row>
    <x:row r="12">
      <x:c r="A12" s="18"/>
      <x:c r="B12" s="18"/>
      <x:c r="C12" s="18"/>
      <x:c r="D12" s="18"/>
      <x:c r="E12" s="18"/>
      <x:c r="F12" s="18"/>
      <x:c r="G12" s="18"/>
      <x:c r="H12" s="18"/>
    </x:row>
    <x:row r="13">
      <x:c r="A13" s="18"/>
      <x:c r="B13" s="18"/>
      <x:c r="C13" s="18"/>
      <x:c r="D13" s="18"/>
      <x:c r="E13" s="18"/>
      <x:c r="F13" s="18"/>
      <x:c r="G13" s="18"/>
      <x:c r="H13" s="18"/>
    </x:row>
    <x:row r="14">
      <x:c r="A14" s="18"/>
      <x:c r="B14" s="18"/>
      <x:c r="C14" s="18"/>
      <x:c r="D14" s="18"/>
      <x:c r="E14" s="18"/>
      <x:c r="F14" s="18"/>
      <x:c r="G14" s="18"/>
      <x:c r="H14" s="18"/>
    </x:row>
    <x:row r="15">
      <x:c r="A15" s="18"/>
      <x:c r="B15" s="18"/>
      <x:c r="C15" s="18"/>
      <x:c r="D15" s="18"/>
      <x:c r="E15" s="18"/>
      <x:c r="F15" s="18"/>
      <x:c r="G15" s="18"/>
      <x:c r="H15" s="18"/>
    </x:row>
    <x:row r="16">
      <x:c r="A16" s="18"/>
      <x:c r="B16" s="18"/>
      <x:c r="C16" s="18"/>
      <x:c r="D16" s="18"/>
      <x:c r="E16" s="18"/>
      <x:c r="F16" s="18"/>
      <x:c r="G16" s="18"/>
      <x:c r="H16" s="18"/>
    </x:row>
    <x:row r="17">
      <x:c r="A17" s="18"/>
      <x:c r="B17" s="18"/>
      <x:c r="C17" s="18"/>
      <x:c r="D17" s="18"/>
      <x:c r="E17" s="18"/>
      <x:c r="F17" s="18"/>
      <x:c r="G17" s="18"/>
      <x:c r="H17" s="18"/>
    </x:row>
    <x:row r="18">
      <x:c r="A18" s="18"/>
      <x:c r="B18" s="18"/>
      <x:c r="C18" s="18"/>
      <x:c r="D18" s="18"/>
      <x:c r="E18" s="18"/>
      <x:c r="F18" s="18"/>
      <x:c r="G18" s="18"/>
      <x:c r="H18" s="18"/>
    </x:row>
    <x:row r="19">
      <x:c r="A19" s="18"/>
      <x:c r="B19" s="18"/>
      <x:c r="C19" s="18"/>
      <x:c r="D19" s="18"/>
      <x:c r="E19" s="18"/>
      <x:c r="F19" s="18"/>
      <x:c r="G19" s="18"/>
      <x:c r="H19" s="18"/>
    </x:row>
    <x:row r="20">
      <x:c r="A20" s="18"/>
      <x:c r="B20" s="18"/>
      <x:c r="C20" s="18"/>
      <x:c r="D20" s="18"/>
      <x:c r="E20" s="18"/>
      <x:c r="F20" s="18"/>
      <x:c r="G20" s="18"/>
      <x:c r="H20" s="18"/>
    </x:row>
    <x:row r="21">
      <x:c r="A21" s="18"/>
      <x:c r="B21" s="18"/>
      <x:c r="C21" s="18"/>
      <x:c r="D21" s="18"/>
      <x:c r="E21" s="18"/>
      <x:c r="F21" s="18"/>
      <x:c r="G21" s="18"/>
      <x:c r="H21" s="18"/>
    </x:row>
    <x:row r="22">
      <x:c r="A22" s="18"/>
      <x:c r="B22" s="18"/>
      <x:c r="C22" s="18"/>
      <x:c r="D22" s="18"/>
      <x:c r="E22" s="18"/>
      <x:c r="F22" s="18"/>
      <x:c r="G22" s="18"/>
      <x:c r="H22" s="18"/>
    </x:row>
    <x:row r="23">
      <x:c r="A23" s="18"/>
      <x:c r="B23" s="18"/>
      <x:c r="C23" s="18"/>
      <x:c r="D23" s="18"/>
      <x:c r="E23" s="18"/>
      <x:c r="F23" s="18"/>
      <x:c r="G23" s="18"/>
      <x:c r="H23" s="18"/>
    </x:row>
    <x:row r="24">
      <x:c r="A24" s="18"/>
      <x:c r="B24" s="18"/>
      <x:c r="C24" s="18"/>
      <x:c r="D24" s="18"/>
      <x:c r="E24" s="18"/>
      <x:c r="F24" s="18"/>
      <x:c r="G24" s="18"/>
      <x:c r="H24" s="18"/>
    </x:row>
    <x:row r="25">
      <x:c r="A25" s="18"/>
      <x:c r="B25" s="18"/>
      <x:c r="C25" s="18"/>
      <x:c r="D25" s="18"/>
      <x:c r="E25" s="18"/>
      <x:c r="F25" s="18"/>
      <x:c r="G25" s="18"/>
      <x:c r="H25" s="18"/>
    </x:row>
    <x:row r="26">
      <x:c r="A26" s="18"/>
      <x:c r="B26" s="18"/>
      <x:c r="C26" s="18"/>
      <x:c r="D26" s="18"/>
      <x:c r="E26" s="18"/>
      <x:c r="F26" s="18"/>
      <x:c r="G26" s="18"/>
      <x:c r="H26" s="18"/>
    </x:row>
    <x:row r="27">
      <x:c r="A27" s="18"/>
      <x:c r="B27" s="18"/>
      <x:c r="C27" s="18"/>
      <x:c r="D27" s="18"/>
      <x:c r="E27" s="18"/>
      <x:c r="F27" s="18"/>
      <x:c r="G27" s="18"/>
      <x:c r="H27" s="18"/>
    </x:row>
    <x:row r="28">
      <x:c r="A28" s="18"/>
      <x:c r="B28" s="18"/>
      <x:c r="C28" s="18"/>
      <x:c r="D28" s="18"/>
      <x:c r="E28" s="18"/>
      <x:c r="F28" s="18"/>
      <x:c r="G28" s="18"/>
      <x:c r="H28" s="18"/>
    </x:row>
    <x:row r="29">
      <x:c r="A29" s="18"/>
      <x:c r="B29" s="18"/>
      <x:c r="C29" s="18"/>
      <x:c r="D29" s="18"/>
      <x:c r="E29" s="18"/>
      <x:c r="F29" s="18"/>
      <x:c r="G29" s="18"/>
      <x:c r="H29" s="18"/>
    </x:row>
    <x:row r="30">
      <x:c r="A30" s="18"/>
      <x:c r="B30" s="18"/>
      <x:c r="C30" s="18"/>
      <x:c r="D30" s="18"/>
      <x:c r="E30" s="18"/>
      <x:c r="F30" s="18"/>
      <x:c r="G30" s="18"/>
      <x:c r="H30" s="18"/>
    </x:row>
  </x:sheetData>
  <x:mergeCells>
    <x:mergeCell ref="A1:H1"/>
    <x:mergeCell ref="A2:H2"/>
  </x:mergeCells>
  <x:dataValidations count="1">
    <x:dataValidation type="list" sqref="H5:H40">
      <x:formula1>"Open,Mitigating,Resolved,Accepted"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1" hidden="0" customWidth="1"/>
    <x:col min="4" max="4" width="27" hidden="0" customWidth="1"/>
    <x:col min="5" max="5" width="70" hidden="0" customWidth="1"/>
    <x:col min="6" max="6" width="20" hidden="0" customWidth="1"/>
    <x:col min="7" max="7" width="45" hidden="0" customWidth="1"/>
  </x:cols>
  <x:sheetData>
    <x:row r="1" ht="39" customHeight="1">
      <x:c r="A1" s="16" t="str">
        <x:v>DECISION LOG</x:v>
      </x:c>
      <x:c r="B1" s="16"/>
      <x:c r="C1" s="16"/>
      <x:c r="D1" s="16"/>
      <x:c r="E1" s="16"/>
      <x:c r="F1" s="16"/>
      <x:c r="G1" s="16"/>
    </x:row>
    <x:row r="2" ht="31" customHeight="1">
      <x:c r="A2" s="17" t="str">
        <x:v>Capture every gate result, product pivot, scope or target change with rationale and evidence.</x:v>
      </x:c>
      <x:c r="B2" s="17"/>
      <x:c r="C2" s="17"/>
      <x:c r="D2" s="17"/>
      <x:c r="E2" s="17"/>
      <x:c r="F2" s="17"/>
      <x:c r="G2" s="17"/>
    </x:row>
    <x:row r="3">
      <x:c r="A3" s="18"/>
      <x:c r="B3" s="18"/>
      <x:c r="C3" s="18"/>
      <x:c r="D3" s="18"/>
      <x:c r="E3" s="18"/>
      <x:c r="F3" s="18"/>
      <x:c r="G3" s="18"/>
    </x:row>
    <x:row r="4" ht="30" customHeight="1">
      <x:c r="A4" s="25" t="str">
        <x:v>Decision ID</x:v>
      </x:c>
      <x:c r="B4" s="25" t="str">
        <x:v>Date</x:v>
      </x:c>
      <x:c r="C4" s="25" t="str">
        <x:v>Gate</x:v>
      </x:c>
      <x:c r="D4" s="25" t="str">
        <x:v>Decision</x:v>
      </x:c>
      <x:c r="E4" s="25" t="str">
        <x:v>Evidence &amp; rationale</x:v>
      </x:c>
      <x:c r="F4" s="25" t="str">
        <x:v>Decision owner</x:v>
      </x:c>
      <x:c r="G4" s="25" t="str">
        <x:v>Next action / due</x:v>
      </x:c>
    </x:row>
    <x:row r="5" ht="36" customHeight="1">
      <x:c r="A5" s="50"/>
      <x:c r="B5" s="50"/>
      <x:c r="C5" s="50"/>
      <x:c r="D5" s="50"/>
      <x:c r="E5" s="50"/>
      <x:c r="F5" s="50"/>
      <x:c r="G5" s="50"/>
    </x:row>
    <x:row r="6" ht="36" customHeight="1">
      <x:c r="A6" s="50"/>
      <x:c r="B6" s="50"/>
      <x:c r="C6" s="50"/>
      <x:c r="D6" s="50"/>
      <x:c r="E6" s="50"/>
      <x:c r="F6" s="50"/>
      <x:c r="G6" s="50"/>
    </x:row>
    <x:row r="7" ht="36" customHeight="1">
      <x:c r="A7" s="50"/>
      <x:c r="B7" s="50"/>
      <x:c r="C7" s="50"/>
      <x:c r="D7" s="50"/>
      <x:c r="E7" s="50"/>
      <x:c r="F7" s="50"/>
      <x:c r="G7" s="50"/>
    </x:row>
    <x:row r="8" ht="36" customHeight="1">
      <x:c r="A8" s="50"/>
      <x:c r="B8" s="50"/>
      <x:c r="C8" s="50"/>
      <x:c r="D8" s="50"/>
      <x:c r="E8" s="50"/>
      <x:c r="F8" s="50"/>
      <x:c r="G8" s="50"/>
    </x:row>
    <x:row r="9" ht="36" customHeight="1">
      <x:c r="A9" s="50"/>
      <x:c r="B9" s="50"/>
      <x:c r="C9" s="50"/>
      <x:c r="D9" s="50"/>
      <x:c r="E9" s="50"/>
      <x:c r="F9" s="50"/>
      <x:c r="G9" s="50"/>
    </x:row>
    <x:row r="10" ht="36" customHeight="1">
      <x:c r="A10" s="50"/>
      <x:c r="B10" s="50"/>
      <x:c r="C10" s="50"/>
      <x:c r="D10" s="50"/>
      <x:c r="E10" s="50"/>
      <x:c r="F10" s="50"/>
      <x:c r="G10" s="50"/>
    </x:row>
    <x:row r="11" ht="36" customHeight="1">
      <x:c r="A11" s="50"/>
      <x:c r="B11" s="50"/>
      <x:c r="C11" s="50"/>
      <x:c r="D11" s="50"/>
      <x:c r="E11" s="50"/>
      <x:c r="F11" s="50"/>
      <x:c r="G11" s="50"/>
    </x:row>
    <x:row r="12" ht="36" customHeight="1">
      <x:c r="A12" s="50"/>
      <x:c r="B12" s="50"/>
      <x:c r="C12" s="50"/>
      <x:c r="D12" s="50"/>
      <x:c r="E12" s="50"/>
      <x:c r="F12" s="50"/>
      <x:c r="G12" s="50"/>
    </x:row>
    <x:row r="13" ht="36" customHeight="1">
      <x:c r="A13" s="50"/>
      <x:c r="B13" s="50"/>
      <x:c r="C13" s="50"/>
      <x:c r="D13" s="50"/>
      <x:c r="E13" s="50"/>
      <x:c r="F13" s="50"/>
      <x:c r="G13" s="50"/>
    </x:row>
    <x:row r="14" ht="36" customHeight="1">
      <x:c r="A14" s="50"/>
      <x:c r="B14" s="50"/>
      <x:c r="C14" s="50"/>
      <x:c r="D14" s="50"/>
      <x:c r="E14" s="50"/>
      <x:c r="F14" s="50"/>
      <x:c r="G14" s="50"/>
    </x:row>
    <x:row r="15" ht="36" customHeight="1">
      <x:c r="A15" s="50"/>
      <x:c r="B15" s="50"/>
      <x:c r="C15" s="50"/>
      <x:c r="D15" s="50"/>
      <x:c r="E15" s="50"/>
      <x:c r="F15" s="50"/>
      <x:c r="G15" s="50"/>
    </x:row>
    <x:row r="16" ht="36" customHeight="1">
      <x:c r="A16" s="50"/>
      <x:c r="B16" s="50"/>
      <x:c r="C16" s="50"/>
      <x:c r="D16" s="50"/>
      <x:c r="E16" s="50"/>
      <x:c r="F16" s="50"/>
      <x:c r="G16" s="50"/>
    </x:row>
    <x:row r="17" ht="36" customHeight="1">
      <x:c r="A17" s="50"/>
      <x:c r="B17" s="50"/>
      <x:c r="C17" s="50"/>
      <x:c r="D17" s="50"/>
      <x:c r="E17" s="50"/>
      <x:c r="F17" s="50"/>
      <x:c r="G17" s="50"/>
    </x:row>
    <x:row r="18" ht="36" customHeight="1">
      <x:c r="A18" s="50"/>
      <x:c r="B18" s="50"/>
      <x:c r="C18" s="50"/>
      <x:c r="D18" s="50"/>
      <x:c r="E18" s="50"/>
      <x:c r="F18" s="50"/>
      <x:c r="G18" s="50"/>
    </x:row>
    <x:row r="19" ht="36" customHeight="1">
      <x:c r="A19" s="50"/>
      <x:c r="B19" s="50"/>
      <x:c r="C19" s="50"/>
      <x:c r="D19" s="50"/>
      <x:c r="E19" s="50"/>
      <x:c r="F19" s="50"/>
      <x:c r="G19" s="50"/>
    </x:row>
    <x:row r="20" ht="36" customHeight="1">
      <x:c r="A20" s="50"/>
      <x:c r="B20" s="50"/>
      <x:c r="C20" s="50"/>
      <x:c r="D20" s="50"/>
      <x:c r="E20" s="50"/>
      <x:c r="F20" s="50"/>
      <x:c r="G20" s="50"/>
    </x:row>
    <x:row r="21" ht="36" customHeight="1">
      <x:c r="A21" s="50"/>
      <x:c r="B21" s="50"/>
      <x:c r="C21" s="50"/>
      <x:c r="D21" s="50"/>
      <x:c r="E21" s="50"/>
      <x:c r="F21" s="50"/>
      <x:c r="G21" s="50"/>
    </x:row>
    <x:row r="22" ht="36" customHeight="1">
      <x:c r="A22" s="50"/>
      <x:c r="B22" s="50"/>
      <x:c r="C22" s="50"/>
      <x:c r="D22" s="50"/>
      <x:c r="E22" s="50"/>
      <x:c r="F22" s="50"/>
      <x:c r="G22" s="50"/>
    </x:row>
    <x:row r="23" ht="36" customHeight="1">
      <x:c r="A23" s="50"/>
      <x:c r="B23" s="50"/>
      <x:c r="C23" s="50"/>
      <x:c r="D23" s="50"/>
      <x:c r="E23" s="50"/>
      <x:c r="F23" s="50"/>
      <x:c r="G23" s="50"/>
    </x:row>
    <x:row r="24" ht="36" customHeight="1">
      <x:c r="A24" s="50"/>
      <x:c r="B24" s="50"/>
      <x:c r="C24" s="50"/>
      <x:c r="D24" s="50"/>
      <x:c r="E24" s="50"/>
      <x:c r="F24" s="50"/>
      <x:c r="G24" s="50"/>
    </x:row>
    <x:row r="25" ht="36" customHeight="1">
      <x:c r="A25" s="50"/>
      <x:c r="B25" s="50"/>
      <x:c r="C25" s="50"/>
      <x:c r="D25" s="50"/>
      <x:c r="E25" s="50"/>
      <x:c r="F25" s="50"/>
      <x:c r="G25" s="50"/>
    </x:row>
    <x:row r="26" ht="36" customHeight="1">
      <x:c r="A26" s="50"/>
      <x:c r="B26" s="50"/>
      <x:c r="C26" s="50"/>
      <x:c r="D26" s="50"/>
      <x:c r="E26" s="50"/>
      <x:c r="F26" s="50"/>
      <x:c r="G26" s="50"/>
    </x:row>
    <x:row r="27" ht="36" customHeight="1">
      <x:c r="A27" s="50"/>
      <x:c r="B27" s="50"/>
      <x:c r="C27" s="50"/>
      <x:c r="D27" s="50"/>
      <x:c r="E27" s="50"/>
      <x:c r="F27" s="50"/>
      <x:c r="G27" s="50"/>
    </x:row>
    <x:row r="28" ht="36" customHeight="1">
      <x:c r="A28" s="50"/>
      <x:c r="B28" s="50"/>
      <x:c r="C28" s="50"/>
      <x:c r="D28" s="50"/>
      <x:c r="E28" s="50"/>
      <x:c r="F28" s="50"/>
      <x:c r="G28" s="50"/>
    </x:row>
    <x:row r="29" ht="36" customHeight="1">
      <x:c r="A29" s="50"/>
      <x:c r="B29" s="50"/>
      <x:c r="C29" s="50"/>
      <x:c r="D29" s="50"/>
      <x:c r="E29" s="50"/>
      <x:c r="F29" s="50"/>
      <x:c r="G29" s="50"/>
    </x:row>
    <x:row r="30">
      <x:c r="A30" s="18"/>
      <x:c r="B30" s="18"/>
      <x:c r="C30" s="18"/>
      <x:c r="D30" s="18"/>
      <x:c r="E30" s="18"/>
      <x:c r="F30" s="18"/>
      <x:c r="G30" s="18"/>
    </x:row>
    <x:row r="31">
      <x:c r="A31" s="18"/>
      <x:c r="B31" s="18"/>
      <x:c r="C31" s="18"/>
      <x:c r="D31" s="18"/>
      <x:c r="E31" s="18"/>
      <x:c r="F31" s="18"/>
      <x:c r="G31" s="18"/>
    </x:row>
  </x:sheetData>
  <x:mergeCells>
    <x:mergeCell ref="A1:G1"/>
    <x:mergeCell ref="A2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6" hidden="0" customWidth="1"/>
    <x:col min="4" max="4" width="22" hidden="0" customWidth="1"/>
    <x:col min="5" max="5" width="24" hidden="0" customWidth="1"/>
    <x:col min="6" max="6" width="24" hidden="0" customWidth="1"/>
    <x:col min="7" max="7" width="67" hidden="0" customWidth="1"/>
    <x:col min="8" max="8" width="48" hidden="0" customWidth="1"/>
  </x:cols>
  <x:sheetData>
    <x:row r="1" ht="39" customHeight="1">
      <x:c r="A1" s="16" t="str">
        <x:v>COMPETITOR MATRIX</x:v>
      </x:c>
      <x:c r="B1" s="16"/>
      <x:c r="C1" s="16"/>
      <x:c r="D1" s="16"/>
      <x:c r="E1" s="16"/>
      <x:c r="F1" s="16"/>
      <x:c r="G1" s="16"/>
      <x:c r="H1" s="16"/>
    </x:row>
    <x:row r="2" ht="31" customHeight="1">
      <x:c r="A2" s="17" t="str">
        <x:v>Initial evidence-based seed list. Expand to 10+ verified direct/adjacent competitors during G1.</x:v>
      </x:c>
      <x:c r="B2" s="17"/>
      <x:c r="C2" s="17"/>
      <x:c r="D2" s="17"/>
      <x:c r="E2" s="17"/>
      <x:c r="F2" s="17"/>
      <x:c r="G2" s="17"/>
      <x:c r="H2" s="17"/>
    </x:row>
    <x:row r="3">
      <x:c r="A3" s="18"/>
      <x:c r="B3" s="18"/>
      <x:c r="C3" s="18"/>
      <x:c r="D3" s="18"/>
      <x:c r="E3" s="18"/>
      <x:c r="F3" s="18"/>
      <x:c r="G3" s="18"/>
      <x:c r="H3" s="18"/>
    </x:row>
    <x:row r="4" ht="30" customHeight="1">
      <x:c r="A4" s="25" t="str">
        <x:v>Product</x:v>
      </x:c>
      <x:c r="B4" s="25" t="str">
        <x:v>Type</x:v>
      </x:c>
      <x:c r="C4" s="25" t="str">
        <x:v>Native parallel sessions</x:v>
      </x:c>
      <x:c r="D4" s="25" t="str">
        <x:v>Overlap preflight</x:v>
      </x:c>
      <x:c r="E4" s="25" t="str">
        <x:v>Evidence handoff</x:v>
      </x:c>
      <x:c r="F4" s="25" t="str">
        <x:v>Pricing / license</x:v>
      </x:c>
      <x:c r="G4" s="25" t="str">
        <x:v>Evidence link</x:v>
      </x:c>
      <x:c r="H4" s="25" t="str">
        <x:v>Gap to verify</x:v>
      </x:c>
    </x:row>
    <x:row r="5" ht="45" customHeight="1">
      <x:c r="A5" s="50" t="str">
        <x:v>Claude Code native</x:v>
      </x:c>
      <x:c r="B5" s="50" t="str">
        <x:v>First-party CLI</x:v>
      </x:c>
      <x:c r="C5" s="50" t="str">
        <x:v>Yes (worktrees, teams)</x:v>
      </x:c>
      <x:c r="D5" s="50" t="str">
        <x:v>Research</x:v>
      </x:c>
      <x:c r="E5" s="50" t="str">
        <x:v>Research</x:v>
      </x:c>
      <x:c r="F5" s="50" t="str">
        <x:v>Depends on Claude plan</x:v>
      </x:c>
      <x:c r="G5" s="50" t="str">
        <x:v>https://support.claude.com/en/articles/14554000-claude-code-power-user-tips</x:v>
      </x:c>
      <x:c r="H5" s="50" t="str">
        <x:v>How independent sessions share task claims</x:v>
      </x:c>
    </x:row>
    <x:row r="6" ht="45" customHeight="1">
      <x:c r="A6" s="50" t="str">
        <x:v>Conductor</x:v>
      </x:c>
      <x:c r="B6" s="50" t="str">
        <x:v>GUI workspace manager</x:v>
      </x:c>
      <x:c r="C6" s="50" t="str">
        <x:v>Yes</x:v>
      </x:c>
      <x:c r="D6" s="50" t="str">
        <x:v>Research</x:v>
      </x:c>
      <x:c r="E6" s="50" t="str">
        <x:v>Workspace notes + checks</x:v>
      </x:c>
      <x:c r="F6" s="50" t="str">
        <x:v>Verify current plan</x:v>
      </x:c>
      <x:c r="G6" s="50" t="str">
        <x:v>https://www.conductor.build/docs/guides/parallel-agents/run-multiple-claude-code-sessions</x:v>
      </x:c>
      <x:c r="H6" s="50" t="str">
        <x:v>Pre-branch task scope vs post-change diff</x:v>
      </x:c>
    </x:row>
    <x:row r="7" ht="45" customHeight="1">
      <x:c r="A7" s="50" t="str">
        <x:v>Claude Squad</x:v>
      </x:c>
      <x:c r="B7" s="50" t="str">
        <x:v>TUI session manager</x:v>
      </x:c>
      <x:c r="C7" s="50" t="str">
        <x:v>Yes (tmux/worktrees)</x:v>
      </x:c>
      <x:c r="D7" s="50" t="str">
        <x:v>Research</x:v>
      </x:c>
      <x:c r="E7" s="50" t="str">
        <x:v>Research</x:v>
      </x:c>
      <x:c r="F7" s="50" t="str">
        <x:v>AGPL-3.0 repo license</x:v>
      </x:c>
      <x:c r="G7" s="50" t="str">
        <x:v>https://github.com/smtg-ai/claude-squad</x:v>
      </x:c>
      <x:c r="H7" s="50" t="str">
        <x:v>Structured collision prevention vs session status</x:v>
      </x:c>
    </x:row>
    <x:row r="8" ht="45" customHeight="1">
      <x:c r="A8" s="50" t="str">
        <x:v>Vibe Kanban</x:v>
      </x:c>
      <x:c r="B8" s="50" t="str">
        <x:v>Agent Kanban/workspaces</x:v>
      </x:c>
      <x:c r="C8" s="50" t="str">
        <x:v>Yes</x:v>
      </x:c>
      <x:c r="D8" s="50" t="str">
        <x:v>Research</x:v>
      </x:c>
      <x:c r="E8" s="50" t="str">
        <x:v>Diff review</x:v>
      </x:c>
      <x:c r="F8" s="50" t="str">
        <x:v>Project sunsetting</x:v>
      </x:c>
      <x:c r="G8" s="50" t="str">
        <x:v>https://vibekanban.com/</x:v>
      </x:c>
      <x:c r="H8" s="50" t="str">
        <x:v>Community fork, maintenance and feature overlap</x:v>
      </x:c>
    </x:row>
    <x:row r="9" ht="45" customHeight="1">
      <x:c r="A9" s="50" t="str">
        <x:v>Competitor 05</x:v>
      </x:c>
      <x:c r="B9" s="50" t="str">
        <x:v>Research</x:v>
      </x:c>
      <x:c r="C9" s="50" t="str"/>
      <x:c r="D9" s="50" t="str"/>
      <x:c r="E9" s="50" t="str"/>
      <x:c r="F9" s="50" t="str"/>
      <x:c r="G9" s="50" t="str"/>
      <x:c r="H9" s="50" t="str"/>
    </x:row>
    <x:row r="10" ht="45" customHeight="1">
      <x:c r="A10" s="50" t="str">
        <x:v>Competitor 06</x:v>
      </x:c>
      <x:c r="B10" s="50" t="str">
        <x:v>Research</x:v>
      </x:c>
      <x:c r="C10" s="50" t="str"/>
      <x:c r="D10" s="50" t="str"/>
      <x:c r="E10" s="50" t="str"/>
      <x:c r="F10" s="50" t="str"/>
      <x:c r="G10" s="50" t="str"/>
      <x:c r="H10" s="50" t="str"/>
    </x:row>
    <x:row r="11" ht="45" customHeight="1">
      <x:c r="A11" s="50" t="str">
        <x:v>Competitor 07</x:v>
      </x:c>
      <x:c r="B11" s="50" t="str">
        <x:v>Research</x:v>
      </x:c>
      <x:c r="C11" s="50" t="str"/>
      <x:c r="D11" s="50" t="str"/>
      <x:c r="E11" s="50" t="str"/>
      <x:c r="F11" s="50" t="str"/>
      <x:c r="G11" s="50" t="str"/>
      <x:c r="H11" s="50" t="str"/>
    </x:row>
    <x:row r="12" ht="45" customHeight="1">
      <x:c r="A12" s="50" t="str">
        <x:v>Competitor 08</x:v>
      </x:c>
      <x:c r="B12" s="50" t="str">
        <x:v>Research</x:v>
      </x:c>
      <x:c r="C12" s="50" t="str"/>
      <x:c r="D12" s="50" t="str"/>
      <x:c r="E12" s="50" t="str"/>
      <x:c r="F12" s="50" t="str"/>
      <x:c r="G12" s="50" t="str"/>
      <x:c r="H12" s="50" t="str"/>
    </x:row>
    <x:row r="13" ht="45" customHeight="1">
      <x:c r="A13" s="50" t="str">
        <x:v>Competitor 09</x:v>
      </x:c>
      <x:c r="B13" s="50" t="str">
        <x:v>Research</x:v>
      </x:c>
      <x:c r="C13" s="50" t="str"/>
      <x:c r="D13" s="50" t="str"/>
      <x:c r="E13" s="50" t="str"/>
      <x:c r="F13" s="50" t="str"/>
      <x:c r="G13" s="50" t="str"/>
      <x:c r="H13" s="50" t="str"/>
    </x:row>
    <x:row r="14" ht="45" customHeight="1">
      <x:c r="A14" s="50" t="str">
        <x:v>Competitor 10</x:v>
      </x:c>
      <x:c r="B14" s="50" t="str">
        <x:v>Research</x:v>
      </x:c>
      <x:c r="C14" s="50" t="str"/>
      <x:c r="D14" s="50" t="str"/>
      <x:c r="E14" s="50" t="str"/>
      <x:c r="F14" s="50" t="str"/>
      <x:c r="G14" s="50" t="str"/>
      <x:c r="H14" s="50" t="str"/>
    </x:row>
    <x:row r="15">
      <x:c r="A15" s="18"/>
      <x:c r="B15" s="18"/>
      <x:c r="C15" s="18"/>
      <x:c r="D15" s="18"/>
      <x:c r="E15" s="18"/>
      <x:c r="F15" s="18"/>
      <x:c r="G15" s="18"/>
      <x:c r="H15" s="18"/>
    </x:row>
    <x:row r="16">
      <x:c r="A16" s="18"/>
      <x:c r="B16" s="18"/>
      <x:c r="C16" s="18"/>
      <x:c r="D16" s="18"/>
      <x:c r="E16" s="18"/>
      <x:c r="F16" s="18"/>
      <x:c r="G16" s="18"/>
      <x:c r="H16" s="18"/>
    </x:row>
    <x:row r="17">
      <x:c r="A17" s="18"/>
      <x:c r="B17" s="18"/>
      <x:c r="C17" s="18"/>
      <x:c r="D17" s="18"/>
      <x:c r="E17" s="18"/>
      <x:c r="F17" s="18"/>
      <x:c r="G17" s="18"/>
      <x:c r="H17" s="18"/>
    </x:row>
    <x:row r="18">
      <x:c r="A18" s="18"/>
      <x:c r="B18" s="18"/>
      <x:c r="C18" s="18"/>
      <x:c r="D18" s="18"/>
      <x:c r="E18" s="18"/>
      <x:c r="F18" s="18"/>
      <x:c r="G18" s="18"/>
      <x:c r="H18" s="18"/>
    </x:row>
    <x:row r="19">
      <x:c r="A19" s="18"/>
      <x:c r="B19" s="18"/>
      <x:c r="C19" s="18"/>
      <x:c r="D19" s="18"/>
      <x:c r="E19" s="18"/>
      <x:c r="F19" s="18"/>
      <x:c r="G19" s="18"/>
      <x:c r="H19" s="18"/>
    </x:row>
    <x:row r="20">
      <x:c r="A20" s="18"/>
      <x:c r="B20" s="18"/>
      <x:c r="C20" s="18"/>
      <x:c r="D20" s="18"/>
      <x:c r="E20" s="18"/>
      <x:c r="F20" s="18"/>
      <x:c r="G20" s="18"/>
      <x:c r="H20" s="18"/>
    </x:row>
    <x:row r="21">
      <x:c r="A21" s="18"/>
      <x:c r="B21" s="18"/>
      <x:c r="C21" s="18"/>
      <x:c r="D21" s="18"/>
      <x:c r="E21" s="18"/>
      <x:c r="F21" s="18"/>
      <x:c r="G21" s="18"/>
      <x:c r="H21" s="18"/>
    </x:row>
    <x:row r="22">
      <x:c r="A22" s="18"/>
      <x:c r="B22" s="18"/>
      <x:c r="C22" s="18"/>
      <x:c r="D22" s="18"/>
      <x:c r="E22" s="18"/>
      <x:c r="F22" s="18"/>
      <x:c r="G22" s="18"/>
      <x:c r="H22" s="18"/>
    </x:row>
    <x:row r="23">
      <x:c r="A23" s="18"/>
      <x:c r="B23" s="18"/>
      <x:c r="C23" s="18"/>
      <x:c r="D23" s="18"/>
      <x:c r="E23" s="18"/>
      <x:c r="F23" s="18"/>
      <x:c r="G23" s="18"/>
      <x:c r="H23" s="18"/>
    </x:row>
    <x:row r="24">
      <x:c r="A24" s="18"/>
      <x:c r="B24" s="18"/>
      <x:c r="C24" s="18"/>
      <x:c r="D24" s="18"/>
      <x:c r="E24" s="18"/>
      <x:c r="F24" s="18"/>
      <x:c r="G24" s="18"/>
      <x:c r="H24" s="18"/>
    </x:row>
    <x:row r="25">
      <x:c r="A25" s="18"/>
      <x:c r="B25" s="18"/>
      <x:c r="C25" s="18"/>
      <x:c r="D25" s="18"/>
      <x:c r="E25" s="18"/>
      <x:c r="F25" s="18"/>
      <x:c r="G25" s="18"/>
      <x:c r="H25" s="18"/>
    </x:row>
    <x:row r="26">
      <x:c r="A26" s="18"/>
      <x:c r="B26" s="18"/>
      <x:c r="C26" s="18"/>
      <x:c r="D26" s="18"/>
      <x:c r="E26" s="18"/>
      <x:c r="F26" s="18"/>
      <x:c r="G26" s="18"/>
      <x:c r="H26" s="18"/>
    </x:row>
    <x:row r="27">
      <x:c r="A27" s="18"/>
      <x:c r="B27" s="18"/>
      <x:c r="C27" s="18"/>
      <x:c r="D27" s="18"/>
      <x:c r="E27" s="18"/>
      <x:c r="F27" s="18"/>
      <x:c r="G27" s="18"/>
      <x:c r="H27" s="18"/>
    </x:row>
    <x:row r="28">
      <x:c r="A28" s="18"/>
      <x:c r="B28" s="18"/>
      <x:c r="C28" s="18"/>
      <x:c r="D28" s="18"/>
      <x:c r="E28" s="18"/>
      <x:c r="F28" s="18"/>
      <x:c r="G28" s="18"/>
      <x:c r="H28" s="18"/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68" hidden="0" customWidth="1"/>
    <x:col min="3" max="3" width="62" hidden="0" customWidth="1"/>
  </x:cols>
  <x:sheetData>
    <x:row r="1" ht="39" customHeight="1">
      <x:c r="A1" s="16" t="str">
        <x:v>METRICS &amp; CONTROL DEFINITIONS</x:v>
      </x:c>
      <x:c r="B1" s="16"/>
      <x:c r="C1" s="16"/>
    </x:row>
    <x:row r="2" ht="31" customHeight="1">
      <x:c r="A2" s="17" t="str">
        <x:v>Use the same definitions in every weekly review. These rules prevent inflated numbers.</x:v>
      </x:c>
      <x:c r="B2" s="17"/>
      <x:c r="C2" s="17"/>
    </x:row>
    <x:row r="3">
      <x:c r="A3" s="18"/>
      <x:c r="B3" s="18"/>
      <x:c r="C3" s="18"/>
    </x:row>
    <x:row r="4" ht="30" customHeight="1">
      <x:c r="A4" s="25" t="str">
        <x:v>Term</x:v>
      </x:c>
      <x:c r="B4" s="25" t="str">
        <x:v>Exact meaning</x:v>
      </x:c>
      <x:c r="C4" s="25" t="str">
        <x:v>Data entry instructions</x:v>
      </x:c>
    </x:row>
    <x:row r="5" ht="43" customHeight="1">
      <x:c r="A5" s="50" t="str">
        <x:v>Qualified interview</x:v>
      </x:c>
      <x:c r="B5" s="50" t="str">
        <x:v>Used 2+ AI coding sessions in one repo within past month, completed interview</x:v>
      </x:c>
      <x:c r="C5" s="50" t="str">
        <x:v>Interview Log D = Yes</x:v>
      </x:c>
    </x:row>
    <x:row r="6" ht="43" customHeight="1">
      <x:c r="A6" s="50" t="str">
        <x:v>Recent verified pain</x:v>
      </x:c>
      <x:c r="B6" s="50" t="str">
        <x:v>Qualified user describes a real incident in last 30 days</x:v>
      </x:c>
      <x:c r="C6" s="50" t="str">
        <x:v>Interview Log E = Yes + sanitized notes</x:v>
      </x:c>
    </x:row>
    <x:row r="7" ht="43" customHeight="1">
      <x:c r="A7" s="50" t="str">
        <x:v>Alpha completion</x:v>
      </x:c>
      <x:c r="B7" s="50" t="str">
        <x:v>Finished four-step scenario with no operator takeover</x:v>
      </x:c>
      <x:c r="C7" s="50" t="str">
        <x:v>Alpha Testers E = Yes</x:v>
      </x:c>
    </x:row>
    <x:row r="8" ht="43" customHeight="1">
      <x:c r="A8" s="50" t="str">
        <x:v>Verified new install</x:v>
      </x:c>
      <x:c r="B8" s="50" t="str">
        <x:v>Distinct new installer confirmed; not downloads or GitHub stars</x:v>
      </x:c>
      <x:c r="C8" s="50" t="str">
        <x:v>Weekly Metrics F; deduplicate across weeks</x:v>
      </x:c>
    </x:row>
    <x:row r="9" ht="43" customHeight="1">
      <x:c r="A9" s="50" t="str">
        <x:v>New activation</x:v>
      </x:c>
      <x:c r="B9" s="50" t="str">
        <x:v>New user generated a meaningful risk report</x:v>
      </x:c>
      <x:c r="C9" s="50" t="str">
        <x:v>Weekly Metrics G; count each user once</x:v>
      </x:c>
    </x:row>
    <x:row r="10" ht="43" customHeight="1">
      <x:c r="A10" s="50" t="str">
        <x:v>New repeat user</x:v>
      </x:c>
      <x:c r="B10" s="50" t="str">
        <x:v>Distinct activated user returns in another session/day</x:v>
      </x:c>
      <x:c r="C10" s="50" t="str">
        <x:v>Weekly Metrics H; first repeat only</x:v>
      </x:c>
    </x:row>
    <x:row r="11" ht="43" customHeight="1">
      <x:c r="A11" s="50" t="str">
        <x:v>New paying customer</x:v>
      </x:c>
      <x:c r="B11" s="50" t="str">
        <x:v>Distinct non-refunded real paying customer</x:v>
      </x:c>
      <x:c r="C11" s="50" t="str">
        <x:v>Weekly Metrics I; remove refunded sale from count</x:v>
      </x:c>
    </x:row>
    <x:row r="12" ht="43" customHeight="1">
      <x:c r="A12" s="50" t="str">
        <x:v>Gross USD</x:v>
      </x:c>
      <x:c r="B12" s="50" t="str">
        <x:v>Collected sales before fees/refunds</x:v>
      </x:c>
      <x:c r="C12" s="50" t="str">
        <x:v>Weekly Metrics J</x:v>
      </x:c>
    </x:row>
    <x:row r="13" ht="43" customHeight="1">
      <x:c r="A13" s="50" t="str">
        <x:v>Net receipts</x:v>
      </x:c>
      <x:c r="B13" s="50" t="str">
        <x:v>Gross minus refunds and payment processor fees, not profit</x:v>
      </x:c>
      <x:c r="C13" s="50" t="str">
        <x:v>Weekly Metrics J minus K minus L</x:v>
      </x:c>
    </x:row>
    <x:row r="14" ht="43" customHeight="1">
      <x:c r="A14" s="50" t="str">
        <x:v>Critical safety incident</x:v>
      </x:c>
      <x:c r="B14" s="50" t="str">
        <x:v>Destructive unapproved change, secret disclosure, or unsafe command execution</x:v>
      </x:c>
      <x:c r="C14" s="50" t="str">
        <x:v>Weekly Metrics M; any value &gt;0 blocks rollout</x:v>
      </x:c>
    </x:row>
    <x:row r="15" ht="43" customHeight="1">
      <x:c r="A15" s="50" t="str">
        <x:v>Gate pass</x:v>
      </x:c>
      <x:c r="B15" s="50" t="str">
        <x:v>Owner explicitly checks deliverables and evidence</x:v>
      </x:c>
      <x:c r="C15" s="50" t="str">
        <x:v>Milestones F = Passed only after review</x:v>
      </x:c>
    </x:row>
    <x:row r="16" ht="43" customHeight="1">
      <x:c r="A16" s="50" t="str">
        <x:v>Not started vs zero</x:v>
      </x:c>
      <x:c r="B16" s="50" t="str">
        <x:v>Blank metrics indicate missing report; zero = observed zero</x:v>
      </x:c>
      <x:c r="C16" s="50" t="str">
        <x:v>Do not prefill zeros for future weeks</x:v>
      </x:c>
    </x:row>
    <x:row r="17" ht="43" customHeight="1">
      <x:c r="A17" s="50" t="str">
        <x:v>Weekly cadence</x:v>
      </x:c>
      <x:c r="B17" s="50" t="str">
        <x:v>Monday plan; Friday review and decision log</x:v>
      </x:c>
      <x:c r="C17" s="50" t="str">
        <x:v>Update sheet data with linked evidence</x:v>
      </x:c>
    </x:row>
    <x:row r="18" ht="43" customHeight="1">
      <x:c r="A18" s="50" t="str">
        <x:v>Working assumptions</x:v>
      </x:c>
      <x:c r="B18" s="50" t="str">
        <x:v>Targets are business validation hypotheses</x:v>
      </x:c>
      <x:c r="C18" s="50" t="str">
        <x:v>Revisions must be logged in Decision Log</x:v>
      </x:c>
    </x:row>
    <x:row r="19">
      <x:c r="A19" s="18"/>
      <x:c r="B19" s="18"/>
      <x:c r="C19" s="18"/>
    </x:row>
    <x:row r="20">
      <x:c r="A20" s="18"/>
      <x:c r="B20" s="18"/>
      <x:c r="C20" s="18"/>
    </x:row>
    <x:row r="21">
      <x:c r="A21" s="18"/>
      <x:c r="B21" s="18"/>
      <x:c r="C21" s="18"/>
    </x:row>
    <x:row r="22">
      <x:c r="A22" s="18"/>
      <x:c r="B22" s="18"/>
      <x:c r="C22" s="18"/>
    </x:row>
    <x:row r="23">
      <x:c r="A23" s="18"/>
      <x:c r="B23" s="18"/>
      <x:c r="C23" s="18"/>
    </x:row>
    <x:row r="24">
      <x:c r="A24" s="18"/>
      <x:c r="B24" s="18"/>
      <x:c r="C24" s="18"/>
    </x:row>
    <x:row r="25">
      <x:c r="A25" s="18"/>
      <x:c r="B25" s="18"/>
      <x:c r="C25" s="18"/>
    </x:row>
    <x:row r="26">
      <x:c r="A26" s="18"/>
      <x:c r="B26" s="18"/>
      <x:c r="C26" s="18"/>
    </x:row>
    <x:row r="27">
      <x:c r="A27" s="18"/>
      <x:c r="B27" s="18"/>
      <x:c r="C27" s="18"/>
    </x:row>
    <x:row r="28">
      <x:c r="A28" s="18"/>
      <x:c r="B28" s="18"/>
      <x:c r="C28" s="18"/>
    </x:row>
    <x:row r="29">
      <x:c r="A29" s="18"/>
      <x:c r="B29" s="18"/>
      <x:c r="C29" s="18"/>
    </x:row>
    <x:row r="30">
      <x:c r="A30" s="18"/>
      <x:c r="B30" s="18"/>
      <x:c r="C30" s="18"/>
    </x:row>
    <x:row r="31">
      <x:c r="A31" s="18"/>
      <x:c r="B31" s="18"/>
      <x:c r="C31" s="18"/>
    </x:row>
    <x:row r="32">
      <x:c r="A32" s="18"/>
      <x:c r="B32" s="18"/>
      <x:c r="C32" s="18"/>
    </x:row>
    <x:row r="33">
      <x:c r="A33" s="18"/>
      <x:c r="B33" s="18"/>
      <x:c r="C33" s="18"/>
    </x:row>
    <x:row r="34">
      <x:c r="A34" s="18"/>
      <x:c r="B34" s="18"/>
      <x:c r="C34" s="18"/>
    </x:row>
    <x:row r="35">
      <x:c r="A35" s="18"/>
      <x:c r="B35" s="18"/>
      <x:c r="C35" s="18"/>
    </x:row>
  </x:sheetData>
  <x:mergeCells>
    <x:mergeCell ref="A1:C1"/>
    <x:mergeCell ref="A2:C2"/>
  </x:mergeCells>
  <x:pageMargins left="0.7" right="0.7" top="0.75" bottom="0.75" header="0.3" footer="0.3"/>
</x:worksheet>
</file>