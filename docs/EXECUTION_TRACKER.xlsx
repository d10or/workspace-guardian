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Milestones" sheetId="2" state="visible" r:id="rId2"/>
    <sheet name="Backlog" sheetId="3" state="visible" r:id="rId3"/>
    <sheet name="Weekly Metrics" sheetId="4" state="visible" r:id="rId4"/>
    <sheet name="Interview Log" sheetId="5" state="visible" r:id="rId5"/>
    <sheet name="Alpha Testers" sheetId="6" state="visible" r:id="rId6"/>
    <sheet name="Risk Register" sheetId="7" state="visible" r:id="rId7"/>
    <sheet name="Decision Log" sheetId="8" state="visible" r:id="rId8"/>
    <sheet name="Competitors" sheetId="9" state="visible" r:id="rId9"/>
    <sheet name="Definitions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rlito"/>
      <sz val="11"/>
    </font>
    <font>
      <name val="Carlito"/>
      <b val="1"/>
      <color rgb="FFFFFFFF"/>
      <sz val="18"/>
    </font>
    <font>
      <name val="Carlito"/>
      <color rgb="FF5B6B7D"/>
      <sz val="10"/>
    </font>
    <font>
      <name val="Aptos"/>
      <b val="1"/>
      <color rgb="FFFFFFFF"/>
      <sz val="18"/>
    </font>
    <font>
      <name val="Aptos"/>
      <color rgb="FF5B6B7D"/>
      <sz val="10"/>
    </font>
    <font>
      <name val="Aptos"/>
      <sz val="11"/>
    </font>
    <font>
      <name val="Aptos"/>
      <b val="1"/>
      <color rgb="FFFFFFFF"/>
      <sz val="10"/>
    </font>
    <font>
      <name val="Aptos"/>
      <b val="1"/>
      <sz val="11"/>
    </font>
    <font>
      <name val="Aptos"/>
      <b val="1"/>
      <color rgb="FFFFFFFF"/>
      <sz val="11"/>
    </font>
    <font>
      <name val="Aptos"/>
      <color rgb="FF5B6B7D"/>
      <sz val="11"/>
    </font>
  </fonts>
  <fills count="8">
    <fill>
      <patternFill/>
    </fill>
    <fill>
      <patternFill patternType="gray125"/>
    </fill>
    <fill>
      <patternFill patternType="solid">
        <fgColor rgb="FF10243A"/>
      </patternFill>
    </fill>
    <fill>
      <patternFill patternType="solid">
        <fgColor rgb="FFEAF3F6"/>
      </patternFill>
    </fill>
    <fill>
      <patternFill patternType="solid">
        <fgColor rgb="FF087E8B"/>
      </patternFill>
    </fill>
    <fill>
      <patternFill patternType="solid">
        <fgColor rgb="FFEFF7FB"/>
      </patternFill>
    </fill>
    <fill>
      <patternFill patternType="solid">
        <fgColor rgb="FFFFF4DA"/>
      </patternFill>
    </fill>
    <fill>
      <patternFill patternType="solid">
        <fgColor rgb="FFFFF9EA"/>
      </patternFill>
    </fill>
  </fills>
  <borders count="2">
    <border/>
    <border/>
  </borders>
  <cellStyleXfs count="1">
    <xf numFmtId="0" fontId="0" fillId="0" borderId="1"/>
  </cellStyleXfs>
  <cellXfs count="6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pivotButton="0" quotePrefix="0" xfId="0"/>
    <xf numFmtId="0" fontId="5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wrapText="1"/>
    </xf>
    <xf numFmtId="0" fontId="6" fillId="4" borderId="0" applyAlignment="1" pivotButton="0" quotePrefix="0" xfId="0">
      <alignment vertical="center" wrapText="1"/>
    </xf>
    <xf numFmtId="0" fontId="5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applyAlignment="1" pivotButton="0" quotePrefix="0" xfId="0">
      <alignment vertical="center" wrapText="1"/>
    </xf>
    <xf numFmtId="9" fontId="5" fillId="0" borderId="0" pivotButton="0" quotePrefix="0" xfId="0"/>
    <xf numFmtId="9" fontId="5" fillId="0" borderId="1" pivotButton="0" quotePrefix="0" xfId="0"/>
    <xf numFmtId="164" fontId="5" fillId="0" borderId="0" pivotButton="0" quotePrefix="0" xfId="0"/>
    <xf numFmtId="164" fontId="5" fillId="0" borderId="1" pivotButton="0" quotePrefix="0" xfId="0"/>
    <xf numFmtId="0" fontId="7" fillId="0" borderId="0" pivotButton="0" quotePrefix="0" xfId="0"/>
    <xf numFmtId="0" fontId="7" fillId="0" borderId="1" pivotButton="0" quotePrefix="0" xfId="0"/>
    <xf numFmtId="0" fontId="5" fillId="5" borderId="0" pivotButton="0" quotePrefix="0" xfId="0"/>
    <xf numFmtId="9" fontId="5" fillId="5" borderId="0" pivotButton="0" quotePrefix="0" xfId="0"/>
    <xf numFmtId="164" fontId="5" fillId="5" borderId="0" pivotButton="0" quotePrefix="0" xfId="0"/>
    <xf numFmtId="0" fontId="5" fillId="5" borderId="1" pivotButton="0" quotePrefix="0" xfId="0"/>
    <xf numFmtId="9" fontId="5" fillId="5" borderId="1" pivotButton="0" quotePrefix="0" xfId="0"/>
    <xf numFmtId="164" fontId="5" fillId="5" borderId="1" pivotButton="0" quotePrefix="0" xfId="0"/>
    <xf numFmtId="0" fontId="5" fillId="6" borderId="0" pivotButton="0" quotePrefix="0" xfId="0"/>
    <xf numFmtId="9" fontId="5" fillId="6" borderId="0" pivotButton="0" quotePrefix="0" xfId="0"/>
    <xf numFmtId="0" fontId="5" fillId="6" borderId="1" pivotButton="0" quotePrefix="0" xfId="0"/>
    <xf numFmtId="9" fontId="5" fillId="6" borderId="1" pivotButton="0" quotePrefix="0" xfId="0"/>
    <xf numFmtId="0" fontId="5" fillId="2" borderId="0" pivotButton="0" quotePrefix="0" xfId="0"/>
    <xf numFmtId="0" fontId="8" fillId="2" borderId="0" pivotButton="0" quotePrefix="0" xfId="0"/>
    <xf numFmtId="0" fontId="5" fillId="2" borderId="1" pivotButton="0" quotePrefix="0" xfId="0"/>
    <xf numFmtId="0" fontId="8" fillId="2" borderId="1" pivotButton="0" quotePrefix="0" xfId="0"/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5" fillId="7" borderId="0" pivotButton="0" quotePrefix="0" xfId="0"/>
    <xf numFmtId="0" fontId="5" fillId="7" borderId="1" pivotButton="0" quotePrefix="0" xfId="0"/>
    <xf numFmtId="164" fontId="5" fillId="7" borderId="0" pivotButton="0" quotePrefix="0" xfId="0"/>
    <xf numFmtId="164" fontId="5" fillId="7" borderId="1" pivotButton="0" quotePrefix="0" xfId="0"/>
    <xf numFmtId="0" fontId="5" fillId="3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wrapText="1"/>
    </xf>
    <xf numFmtId="0" fontId="5" fillId="3" borderId="1" pivotButton="0" quotePrefix="0" xfId="0"/>
    <xf numFmtId="0" fontId="9" fillId="3" borderId="1" pivotButton="0" quotePrefix="0" xfId="0"/>
    <xf numFmtId="0" fontId="9" fillId="3" borderId="1" applyAlignment="1" pivotButton="0" quotePrefix="0" xfId="0">
      <alignment wrapText="1"/>
    </xf>
    <xf numFmtId="9" fontId="5" fillId="5" borderId="0" pivotButton="0" quotePrefix="0" xfId="0"/>
    <xf numFmtId="9" fontId="5" fillId="6" borderId="0" pivotButton="0" quotePrefix="0" xfId="0"/>
    <xf numFmtId="164" fontId="5" fillId="5" borderId="0" pivotButton="0" quotePrefix="0" xfId="0"/>
    <xf numFmtId="164" fontId="5" fillId="0" borderId="0" pivotButton="0" quotePrefix="0" xfId="0"/>
    <xf numFmtId="164" fontId="5" fillId="7" borderId="0" pivotButton="0" quotePrefix="0" xfId="0"/>
  </cellXfs>
  <cellStyles count="1">
    <cellStyle name="Normal" xfId="0"/>
  </cellStyles>
  <dxfs count="8">
    <dxf>
      <font>
        <color rgb="FF116149"/>
      </font>
      <fill>
        <patternFill patternType="solid">
          <bgColor rgb="FFE7F5EE"/>
        </patternFill>
      </fill>
    </dxf>
    <dxf>
      <font>
        <color rgb="FFB42318"/>
      </font>
      <fill>
        <patternFill patternType="solid">
          <bgColor rgb="FFFCEBE8"/>
        </patternFill>
      </fill>
    </dxf>
    <dxf>
      <fill>
        <patternFill patternType="solid">
          <bgColor rgb="FFE7F5EE"/>
        </patternFill>
      </fill>
    </dxf>
    <dxf>
      <fill>
        <patternFill patternType="solid">
          <bgColor rgb="FFFCEBE8"/>
        </patternFill>
      </fill>
    </dxf>
    <dxf>
      <fill>
        <patternFill patternType="solid">
          <bgColor rgb="FFE7F5EE"/>
        </patternFill>
      </fill>
    </dxf>
    <dxf>
      <fill>
        <patternFill patternType="solid">
          <bgColor rgb="FFFCEBE8"/>
        </patternFill>
      </fill>
    </dxf>
    <dxf>
      <font>
        <color rgb="FFB42318"/>
      </font>
      <fill>
        <patternFill patternType="solid">
          <bgColor rgb="FFFCEBE8"/>
        </patternFill>
      </fill>
    </dxf>
    <dxf>
      <font>
        <color rgb="FF92400E"/>
      </font>
      <fill>
        <patternFill patternType="solid">
          <bgColor rgb="FFFFF4D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6" customWidth="1" min="1" max="1"/>
    <col width="17" customWidth="1" min="2" max="2"/>
    <col width="16" customWidth="1" min="3" max="3"/>
    <col width="17" customWidth="1" min="4" max="4"/>
    <col width="22" customWidth="1" min="5" max="5"/>
    <col width="53" customWidth="1" min="6" max="6"/>
  </cols>
  <sheetData>
    <row r="1" ht="39" customHeight="1">
      <c r="A1" s="19" t="inlineStr">
        <is>
          <t>GUARDIAN  /  EXECUTION SCORECARD</t>
        </is>
      </c>
      <c r="B1" s="1" t="n"/>
      <c r="C1" s="1" t="n"/>
      <c r="D1" s="1" t="n"/>
      <c r="E1" s="1" t="n"/>
      <c r="F1" s="1" t="n"/>
    </row>
    <row r="2" ht="31" customHeight="1">
      <c r="A2" s="20" t="inlineStr">
        <is>
          <t>Pilot: Oct 19 – Nov 29, 2026   •   Enter actual evidence in the supporting sheets; targets are hypotheses, not forecasts.</t>
        </is>
      </c>
      <c r="B2" s="1" t="n"/>
      <c r="C2" s="1" t="n"/>
      <c r="D2" s="1" t="n"/>
      <c r="E2" s="1" t="n"/>
      <c r="F2" s="1" t="n"/>
    </row>
    <row r="3">
      <c r="A3" s="18" t="n"/>
      <c r="B3" s="18" t="n"/>
      <c r="C3" s="18" t="n"/>
      <c r="D3" s="18" t="n"/>
      <c r="E3" s="18" t="n"/>
      <c r="F3" s="18" t="n"/>
    </row>
    <row r="4" ht="30" customHeight="1">
      <c r="A4" s="25" t="inlineStr">
        <is>
          <t>KPI</t>
        </is>
      </c>
      <c r="B4" s="25" t="inlineStr">
        <is>
          <t>Actual</t>
        </is>
      </c>
      <c r="C4" s="25" t="inlineStr">
        <is>
          <t>G6 target</t>
        </is>
      </c>
      <c r="D4" s="25" t="inlineStr">
        <is>
          <t>Gate result</t>
        </is>
      </c>
      <c r="E4" s="25" t="inlineStr">
        <is>
          <t>Source</t>
        </is>
      </c>
      <c r="F4" s="25" t="inlineStr">
        <is>
          <t>Interpretation</t>
        </is>
      </c>
    </row>
    <row r="5" ht="26" customHeight="1">
      <c r="A5" s="34" t="inlineStr">
        <is>
          <t>Qualified interviews</t>
        </is>
      </c>
      <c r="B5" s="36">
        <f>COUNTIF('Interview Log'!D5:D40,"Yes")</f>
        <v/>
      </c>
      <c r="C5" s="42" t="n">
        <v>8</v>
      </c>
      <c r="D5" s="18">
        <f>IF(B5&gt;=C5,"PASS","BELOW")</f>
        <v/>
      </c>
      <c r="E5" s="18" t="inlineStr">
        <is>
          <t>Interview Log</t>
        </is>
      </c>
      <c r="F5" s="18" t="inlineStr">
        <is>
          <t>Developers using 2+ coding sessions recently</t>
        </is>
      </c>
    </row>
    <row r="6" ht="26" customHeight="1">
      <c r="A6" s="34" t="inlineStr">
        <is>
          <t>Recent pain validated</t>
        </is>
      </c>
      <c r="B6" s="36">
        <f>COUNTIFS('Interview Log'!D5:D40,"Yes",'Interview Log'!E5:E40,"Yes")</f>
        <v/>
      </c>
      <c r="C6" s="42" t="n">
        <v>5</v>
      </c>
      <c r="D6" s="18">
        <f>IF(B6&gt;=C6,"PASS","BELOW")</f>
        <v/>
      </c>
      <c r="E6" s="18" t="inlineStr">
        <is>
          <t>Interview Log</t>
        </is>
      </c>
      <c r="F6" s="18" t="inlineStr">
        <is>
          <t>Specific coordination incident within 30 days</t>
        </is>
      </c>
    </row>
    <row r="7" ht="26" customHeight="1">
      <c r="A7" s="34" t="inlineStr">
        <is>
          <t>Alpha testers completed</t>
        </is>
      </c>
      <c r="B7" s="36">
        <f>COUNTIF('Alpha Testers'!E5:E30,"Yes")</f>
        <v/>
      </c>
      <c r="C7" s="42" t="n">
        <v>4</v>
      </c>
      <c r="D7" s="18">
        <f>IF(B7&gt;=C7,"PASS","BELOW")</f>
        <v/>
      </c>
      <c r="E7" s="18" t="inlineStr">
        <is>
          <t>Alpha Testers</t>
        </is>
      </c>
      <c r="F7" s="18" t="inlineStr">
        <is>
          <t>4 of 5 target testers finish guided workflow</t>
        </is>
      </c>
    </row>
    <row r="8" ht="26" customHeight="1">
      <c r="A8" s="34" t="inlineStr">
        <is>
          <t>Verified unique installs</t>
        </is>
      </c>
      <c r="B8" s="36">
        <f>SUM('Weekly Metrics'!F5:F10)</f>
        <v/>
      </c>
      <c r="C8" s="42" t="n">
        <v>50</v>
      </c>
      <c r="D8" s="18">
        <f>IF(B8&gt;=C8,"PASS","BELOW")</f>
        <v/>
      </c>
      <c r="E8" s="18" t="inlineStr">
        <is>
          <t>Weekly Metrics</t>
        </is>
      </c>
      <c r="F8" s="18" t="inlineStr">
        <is>
          <t>Unique first-time installs, not download count</t>
        </is>
      </c>
    </row>
    <row r="9" ht="26" customHeight="1">
      <c r="A9" s="34" t="inlineStr">
        <is>
          <t>Activated users</t>
        </is>
      </c>
      <c r="B9" s="36">
        <f>SUM('Weekly Metrics'!G5:G10)</f>
        <v/>
      </c>
      <c r="C9" s="42" t="n">
        <v>15</v>
      </c>
      <c r="D9" s="18">
        <f>IF(B9&gt;=C9,"PASS","BELOW")</f>
        <v/>
      </c>
      <c r="E9" s="18" t="inlineStr">
        <is>
          <t>Weekly Metrics</t>
        </is>
      </c>
      <c r="F9" s="18" t="inlineStr">
        <is>
          <t>Generated a risk report successfully</t>
        </is>
      </c>
    </row>
    <row r="10" ht="26" customHeight="1">
      <c r="A10" s="34" t="inlineStr">
        <is>
          <t>Repeat users</t>
        </is>
      </c>
      <c r="B10" s="36">
        <f>SUM('Weekly Metrics'!H5:H10)</f>
        <v/>
      </c>
      <c r="C10" s="42" t="n">
        <v>8</v>
      </c>
      <c r="D10" s="18">
        <f>IF(B10&gt;=C10,"PASS","BELOW")</f>
        <v/>
      </c>
      <c r="E10" s="18" t="inlineStr">
        <is>
          <t>Weekly Metrics</t>
        </is>
      </c>
      <c r="F10" s="18" t="inlineStr">
        <is>
          <t>Used on a separate day/session; count once</t>
        </is>
      </c>
    </row>
    <row r="11" ht="26" customHeight="1">
      <c r="A11" s="34" t="inlineStr">
        <is>
          <t>Paying customers</t>
        </is>
      </c>
      <c r="B11" s="36">
        <f>SUM('Weekly Metrics'!I5:I10)</f>
        <v/>
      </c>
      <c r="C11" s="42" t="n">
        <v>3</v>
      </c>
      <c r="D11" s="18">
        <f>IF(B11&gt;=C11,"PASS","BELOW")</f>
        <v/>
      </c>
      <c r="E11" s="18" t="inlineStr">
        <is>
          <t>Weekly Metrics</t>
        </is>
      </c>
      <c r="F11" s="18" t="inlineStr">
        <is>
          <t>Genuine customers; refunds excluded</t>
        </is>
      </c>
    </row>
    <row r="12" ht="26" customHeight="1">
      <c r="A12" s="34" t="inlineStr">
        <is>
          <t>Critical safety incidents</t>
        </is>
      </c>
      <c r="B12" s="36">
        <f>SUM('Weekly Metrics'!M5:M10)</f>
        <v/>
      </c>
      <c r="C12" s="42" t="n">
        <v>0</v>
      </c>
      <c r="D12" s="18">
        <f>IF(COUNT('Weekly Metrics'!M5:M10)=0,"NOT REPORTED",IF(B12=0,"PASS","FAIL"))</f>
        <v/>
      </c>
      <c r="E12" s="18" t="inlineStr">
        <is>
          <t>Weekly Metrics</t>
        </is>
      </c>
      <c r="F12" s="18" t="inlineStr">
        <is>
          <t>Zero tolerated</t>
        </is>
      </c>
    </row>
    <row r="13" ht="26" customHeight="1">
      <c r="A13" s="34" t="inlineStr">
        <is>
          <t>Activation rate</t>
        </is>
      </c>
      <c r="B13" s="62">
        <f>IFERROR(B9/B8,0)</f>
        <v/>
      </c>
      <c r="C13" s="63" t="n">
        <v>0.3</v>
      </c>
      <c r="D13" s="18">
        <f>IF(B13&gt;=C13,"PASS","BELOW")</f>
        <v/>
      </c>
      <c r="E13" s="18" t="inlineStr">
        <is>
          <t>Calculated</t>
        </is>
      </c>
      <c r="F13" s="18" t="inlineStr">
        <is>
          <t>Target heuristic: 30%+ of installs</t>
        </is>
      </c>
    </row>
    <row r="14" ht="26" customHeight="1">
      <c r="A14" s="34" t="inlineStr">
        <is>
          <t>Repeat rate</t>
        </is>
      </c>
      <c r="B14" s="62">
        <f>IFERROR(B10/B9,0)</f>
        <v/>
      </c>
      <c r="C14" s="63" t="n">
        <v>0.5</v>
      </c>
      <c r="D14" s="18">
        <f>IF(B14&gt;=C14,"PASS","BELOW")</f>
        <v/>
      </c>
      <c r="E14" s="18" t="inlineStr">
        <is>
          <t>Calculated</t>
        </is>
      </c>
      <c r="F14" s="18" t="inlineStr">
        <is>
          <t>Target heuristic: 50%+ of activated</t>
        </is>
      </c>
    </row>
    <row r="15" ht="26" customHeight="1">
      <c r="A15" s="34" t="inlineStr">
        <is>
          <t>Paid conversion of activated</t>
        </is>
      </c>
      <c r="B15" s="62">
        <f>IFERROR(B11/B9,0)</f>
        <v/>
      </c>
      <c r="C15" s="63" t="n">
        <v>0.2</v>
      </c>
      <c r="D15" s="18">
        <f>IF(B15&gt;=C15,"PASS","BELOW")</f>
        <v/>
      </c>
      <c r="E15" s="18" t="inlineStr">
        <is>
          <t>Calculated</t>
        </is>
      </c>
      <c r="F15" s="18" t="inlineStr">
        <is>
          <t>Target heuristic: 20%+ of activated</t>
        </is>
      </c>
    </row>
    <row r="16" ht="26" customHeight="1">
      <c r="A16" s="34" t="inlineStr">
        <is>
          <t>Gross revenue (USD)</t>
        </is>
      </c>
      <c r="B16" s="64">
        <f>SUM('Weekly Metrics'!J5:J10)</f>
        <v/>
      </c>
      <c r="C16" s="65" t="n"/>
      <c r="D16" s="18" t="n"/>
      <c r="E16" s="18" t="inlineStr">
        <is>
          <t>Weekly Metrics</t>
        </is>
      </c>
      <c r="F16" s="18" t="inlineStr">
        <is>
          <t>Collected gross; not profit</t>
        </is>
      </c>
    </row>
    <row r="17" ht="26" customHeight="1">
      <c r="A17" s="34" t="inlineStr">
        <is>
          <t>Net receipts (USD)</t>
        </is>
      </c>
      <c r="B17" s="64">
        <f>B16-SUM('Weekly Metrics'!K5:K10)-SUM('Weekly Metrics'!L5:L10)</f>
        <v/>
      </c>
      <c r="C17" s="65" t="n"/>
      <c r="D17" s="18" t="n"/>
      <c r="E17" s="18" t="inlineStr">
        <is>
          <t>Weekly Metrics</t>
        </is>
      </c>
      <c r="F17" s="18" t="inlineStr">
        <is>
          <t>Gross less refunds and payment fees</t>
        </is>
      </c>
    </row>
    <row r="18">
      <c r="A18" s="18" t="n"/>
      <c r="B18" s="18" t="n"/>
      <c r="C18" s="18" t="n"/>
      <c r="D18" s="18" t="n"/>
      <c r="E18" s="18" t="n"/>
      <c r="F18" s="18" t="n"/>
    </row>
    <row r="19" ht="29" customHeight="1">
      <c r="A19" s="49" t="inlineStr">
        <is>
          <t>READOUT / HOW TO USE</t>
        </is>
      </c>
      <c r="B19" s="1" t="n"/>
      <c r="C19" s="1" t="n"/>
      <c r="D19" s="1" t="n"/>
      <c r="E19" s="1" t="n"/>
      <c r="F19" s="1" t="n"/>
    </row>
    <row r="20" ht="25" customHeight="1">
      <c r="A20" s="21" t="inlineStr">
        <is>
          <t>1. Set weekly actuals and evidence; never populate metrics with aspirational numbers.</t>
        </is>
      </c>
      <c r="B20" s="1" t="n"/>
      <c r="C20" s="1" t="n"/>
      <c r="D20" s="1" t="n"/>
      <c r="E20" s="1" t="n"/>
      <c r="F20" s="1" t="n"/>
    </row>
    <row r="21" ht="25" customHeight="1">
      <c r="A21" s="21" t="inlineStr">
        <is>
          <t>2. Update milestone gate status only after collecting evidence and reviewing pass criteria.</t>
        </is>
      </c>
      <c r="B21" s="1" t="n"/>
      <c r="C21" s="1" t="n"/>
      <c r="D21" s="1" t="n"/>
      <c r="E21" s="1" t="n"/>
      <c r="F21" s="1" t="n"/>
    </row>
    <row r="22" ht="25" customHeight="1">
      <c r="A22" s="21" t="inlineStr">
        <is>
          <t>3. Interview results are counted from Interview Log; alpha completion from Alpha Testers.</t>
        </is>
      </c>
      <c r="B22" s="1" t="n"/>
      <c r="C22" s="1" t="n"/>
      <c r="D22" s="1" t="n"/>
      <c r="E22" s="1" t="n"/>
      <c r="F22" s="1" t="n"/>
    </row>
    <row r="23" ht="25" customHeight="1">
      <c r="A23" s="21" t="inlineStr">
        <is>
          <t>4. Distinct user counts must be deduplicated across weeks; opt-in/self-reported is acceptable.</t>
        </is>
      </c>
      <c r="B23" s="1" t="n"/>
      <c r="C23" s="1" t="n"/>
      <c r="D23" s="1" t="n"/>
      <c r="E23" s="1" t="n"/>
      <c r="F23" s="1" t="n"/>
    </row>
    <row r="24" ht="25" customHeight="1">
      <c r="A24" s="21" t="inlineStr">
        <is>
          <t>5. Safety incident &gt;0 blocks public rollout regardless of other KPIs.</t>
        </is>
      </c>
      <c r="B24" s="1" t="n"/>
      <c r="C24" s="1" t="n"/>
      <c r="D24" s="1" t="n"/>
      <c r="E24" s="1" t="n"/>
      <c r="F24" s="1" t="n"/>
    </row>
    <row r="25" ht="25" customHeight="1">
      <c r="A25" s="21" t="inlineStr">
        <is>
          <t>6. At G6 choose Scale / Iterate / Pivot / Stop in Decision Log.</t>
        </is>
      </c>
      <c r="B25" s="1" t="n"/>
      <c r="C25" s="1" t="n"/>
      <c r="D25" s="1" t="n"/>
      <c r="E25" s="1" t="n"/>
      <c r="F25" s="1" t="n"/>
    </row>
    <row r="26">
      <c r="A26" s="18" t="n"/>
      <c r="B26" s="18" t="n"/>
      <c r="C26" s="18" t="n"/>
      <c r="D26" s="18" t="n"/>
      <c r="E26" s="18" t="n"/>
      <c r="F26" s="18" t="n"/>
    </row>
    <row r="27">
      <c r="A27" s="18" t="n"/>
      <c r="B27" s="18" t="n"/>
      <c r="C27" s="18" t="n"/>
      <c r="D27" s="18" t="n"/>
      <c r="E27" s="18" t="n"/>
      <c r="F27" s="18" t="n"/>
    </row>
    <row r="28">
      <c r="A28" s="18" t="n"/>
      <c r="B28" s="18" t="n"/>
      <c r="C28" s="18" t="n"/>
      <c r="D28" s="18" t="n"/>
      <c r="E28" s="18" t="n"/>
      <c r="F28" s="18" t="n"/>
    </row>
    <row r="29">
      <c r="A29" s="18" t="n"/>
      <c r="B29" s="18" t="n"/>
      <c r="C29" s="18" t="n"/>
      <c r="D29" s="18" t="n"/>
      <c r="E29" s="18" t="n"/>
      <c r="F29" s="18" t="n"/>
    </row>
    <row r="30">
      <c r="A30" s="18" t="n"/>
      <c r="B30" s="18" t="n"/>
      <c r="C30" s="18" t="n"/>
      <c r="D30" s="18" t="n"/>
      <c r="E30" s="18" t="n"/>
      <c r="F30" s="18" t="n"/>
    </row>
    <row r="31">
      <c r="A31" s="18" t="n"/>
      <c r="B31" s="18" t="n"/>
      <c r="C31" s="18" t="n"/>
      <c r="D31" s="18" t="n"/>
      <c r="E31" s="18" t="n"/>
      <c r="F31" s="18" t="n"/>
    </row>
    <row r="32">
      <c r="A32" s="18" t="n"/>
      <c r="B32" s="18" t="n"/>
      <c r="C32" s="18" t="n"/>
      <c r="D32" s="18" t="n"/>
      <c r="E32" s="18" t="n"/>
      <c r="F32" s="18" t="n"/>
    </row>
    <row r="33">
      <c r="A33" s="18" t="n"/>
      <c r="B33" s="18" t="n"/>
      <c r="C33" s="18" t="n"/>
      <c r="D33" s="18" t="n"/>
      <c r="E33" s="18" t="n"/>
      <c r="F33" s="18" t="n"/>
    </row>
    <row r="34">
      <c r="A34" s="18" t="n"/>
      <c r="B34" s="18" t="n"/>
      <c r="C34" s="18" t="n"/>
      <c r="D34" s="18" t="n"/>
      <c r="E34" s="18" t="n"/>
      <c r="F34" s="18" t="n"/>
    </row>
    <row r="35">
      <c r="A35" s="18" t="n"/>
      <c r="B35" s="18" t="n"/>
      <c r="C35" s="18" t="n"/>
      <c r="D35" s="18" t="n"/>
      <c r="E35" s="18" t="n"/>
      <c r="F35" s="18" t="n"/>
    </row>
  </sheetData>
  <mergeCells count="9">
    <mergeCell ref="A24:F24"/>
    <mergeCell ref="A2:F2"/>
    <mergeCell ref="A19:F19"/>
    <mergeCell ref="A1:F1"/>
    <mergeCell ref="A23:F23"/>
    <mergeCell ref="A22:F22"/>
    <mergeCell ref="A20:F20"/>
    <mergeCell ref="A21:F21"/>
    <mergeCell ref="A25:F25"/>
  </mergeCells>
  <conditionalFormatting sqref="D5:D15">
    <cfRule type="expression" priority="1" dxfId="0">
      <formula>D5="PASS"</formula>
    </cfRule>
    <cfRule type="expression" priority="2" dxfId="1">
      <formula>D5="BELOW"</formula>
    </cfRule>
  </conditionalFormatting>
  <conditionalFormatting sqref="D12">
    <cfRule type="expression" priority="3" dxfId="1">
      <formula>D12="FAIL"</formula>
    </cfRule>
    <cfRule type="expression" priority="4" dxfId="7">
      <formula>D12="NOT REPORTED"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64" customWidth="1" min="4" max="4"/>
    <col width="28" customWidth="1" min="5" max="5"/>
    <col width="18" customWidth="1" min="6" max="6"/>
    <col width="32" customWidth="1" min="7" max="7"/>
    <col width="38" customWidth="1" min="8" max="8"/>
  </cols>
  <sheetData>
    <row r="1" ht="39" customHeight="1">
      <c r="A1" s="19" t="inlineStr">
        <is>
          <t>MILESTONE GATES</t>
        </is>
      </c>
      <c r="B1" s="1" t="n"/>
      <c r="C1" s="1" t="n"/>
      <c r="D1" s="1" t="n"/>
      <c r="E1" s="1" t="n"/>
      <c r="F1" s="1" t="n"/>
      <c r="G1" s="1" t="n"/>
      <c r="H1" s="1" t="n"/>
    </row>
    <row r="2" ht="31" customHeight="1">
      <c r="A2" s="20" t="inlineStr">
        <is>
          <t>A gate cannot pass simply because its tasks are marked complete. Attach evidence and record the founder's decision.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 ht="30" customHeight="1">
      <c r="A4" s="25" t="inlineStr">
        <is>
          <t>Gate</t>
        </is>
      </c>
      <c r="B4" s="25" t="inlineStr">
        <is>
          <t>Week / dates</t>
        </is>
      </c>
      <c r="C4" s="25" t="inlineStr">
        <is>
          <t>Delivery</t>
        </is>
      </c>
      <c r="D4" s="25" t="inlineStr">
        <is>
          <t>Evidence-based exit criteria</t>
        </is>
      </c>
      <c r="E4" s="25" t="inlineStr">
        <is>
          <t>Owner</t>
        </is>
      </c>
      <c r="F4" s="25" t="inlineStr">
        <is>
          <t>Status</t>
        </is>
      </c>
      <c r="G4" s="25" t="inlineStr">
        <is>
          <t>Evidence URL / path</t>
        </is>
      </c>
      <c r="H4" s="25" t="inlineStr">
        <is>
          <t>Decision / notes</t>
        </is>
      </c>
    </row>
    <row r="5" ht="56" customHeight="1">
      <c r="A5" s="50" t="inlineStr">
        <is>
          <t>G1</t>
        </is>
      </c>
      <c r="B5" s="50" t="inlineStr">
        <is>
          <t>Oct 19–25</t>
        </is>
      </c>
      <c r="C5" s="50" t="inlineStr">
        <is>
          <t>Research and charter</t>
        </is>
      </c>
      <c r="D5" s="50" t="inlineStr">
        <is>
          <t>&gt;=10 competitors; &gt;=8 interviews; &gt;=5 describe recent pain; PRD frozen</t>
        </is>
      </c>
      <c r="E5" s="50" t="inlineStr">
        <is>
          <t>Founder</t>
        </is>
      </c>
      <c r="F5" s="50" t="inlineStr">
        <is>
          <t>Done</t>
        </is>
      </c>
      <c r="G5" s="50" t="inlineStr">
        <is>
          <t>docs/RESEARCH_G1.md</t>
        </is>
      </c>
      <c r="H5" s="50" t="inlineStr">
        <is>
          <t>Closed 2026-10-17 by desk research (10 sourced pain points, 20-tool matrix). Interview round dropped by founder on 2026-10-20; H1 accepted on desk research + founder incidents. GO to G2 with wedge = task ownership + preflight overlap.</t>
        </is>
      </c>
    </row>
    <row r="6" ht="56" customHeight="1">
      <c r="A6" s="50" t="inlineStr">
        <is>
          <t>G2</t>
        </is>
      </c>
      <c r="B6" s="50" t="inlineStr">
        <is>
          <t>Oct 26–Nov 1</t>
        </is>
      </c>
      <c r="C6" s="50" t="inlineStr">
        <is>
          <t>Local prototype</t>
        </is>
      </c>
      <c r="D6" s="50" t="inlineStr">
        <is>
          <t>Inspection + task claims + risk/handoff; &gt;=20 fixtures; no surprise writes</t>
        </is>
      </c>
      <c r="E6" s="50" t="inlineStr">
        <is>
          <t>Engineering / founder review</t>
        </is>
      </c>
      <c r="F6" s="50" t="inlineStr">
        <is>
          <t>Done</t>
        </is>
      </c>
      <c r="G6" s="50" t="inlineStr">
        <is>
          <t>docs/SAFETY_AUDIT.md; tests/ (19 CLI + 16 mod + hook); CI green; demo/scenarios.sh; tag v0.1.0</t>
        </is>
      </c>
      <c r="H6" s="50" t="inlineStr">
        <is>
          <t>Closed 2026-10-20, ahead of the Oct 26–Nov 1 window. All five deliverables with evidence. Demo recordings (G2-09) prepared via demo/scenarios.sh; the clips themselves are the founder's. Windows support added 2026-10-23 (CLI 0.2.1, mod 0.17.0), CI green on ubuntu+macos+windows at 7007167.</t>
        </is>
      </c>
    </row>
    <row r="7" ht="56" customHeight="1">
      <c r="A7" s="50" t="inlineStr">
        <is>
          <t>G3</t>
        </is>
      </c>
      <c r="B7" s="50" t="inlineStr">
        <is>
          <t>Nov 2–8</t>
        </is>
      </c>
      <c r="C7" s="50" t="inlineStr">
        <is>
          <t>Private alpha</t>
        </is>
      </c>
      <c r="D7" s="50" t="inlineStr">
        <is>
          <t>&gt;=5 testers; &gt;=4 completed guided flow; 0 critical incidents</t>
        </is>
      </c>
      <c r="E7" s="50" t="inlineStr">
        <is>
          <t>Founder</t>
        </is>
      </c>
      <c r="F7" s="50" t="inlineStr">
        <is>
          <t>Ready — awaiting testers</t>
        </is>
      </c>
      <c r="G7" s="50" t="inlineStr">
        <is>
          <t>docs/ALPHA_GUIDE.md; docs/ALPHA_OUTREACH.md</t>
        </is>
      </c>
      <c r="H7" s="50" t="inlineStr">
        <is>
          <t>Everything a tester needs exists. Exit needs 5 real testers observed; cannot be closed without them.</t>
        </is>
      </c>
    </row>
    <row r="8" ht="56" customHeight="1">
      <c r="A8" s="50" t="inlineStr">
        <is>
          <t>G4</t>
        </is>
      </c>
      <c r="B8" s="50" t="inlineStr">
        <is>
          <t>Nov 9–15</t>
        </is>
      </c>
      <c r="C8" s="50" t="inlineStr">
        <is>
          <t>Public free beta</t>
        </is>
      </c>
      <c r="D8" s="50" t="inlineStr">
        <is>
          <t>Tagged release, guides, privacy, demo; 0 known P0/P1 issues</t>
        </is>
      </c>
      <c r="E8" s="50" t="inlineStr">
        <is>
          <t>Founder</t>
        </is>
      </c>
      <c r="F8" s="50" t="inlineStr">
        <is>
          <t>Ready — awaiting launch</t>
        </is>
      </c>
      <c r="G8" s="50" t="inlineStr">
        <is>
          <t>CHANGELOG.md; docs/PRIVACY.md; docs/RELEASE_CHECKLIST.md; .github/ISSUE_TEMPLATE; release v0.1.0</t>
        </is>
      </c>
      <c r="H8" s="50" t="inlineStr">
        <is>
          <t>Public repo, tagged release, docs, privacy, issue templates done. Exit needs the directory submission, demo clips posted, and ≥50 verified installs measured.</t>
        </is>
      </c>
    </row>
    <row r="9" ht="56" customHeight="1">
      <c r="A9" s="50" t="inlineStr">
        <is>
          <t>G5</t>
        </is>
      </c>
      <c r="B9" s="50" t="inlineStr">
        <is>
          <t>Nov 16–22</t>
        </is>
      </c>
      <c r="C9" s="50" t="inlineStr">
        <is>
          <t>Paid-value test</t>
        </is>
      </c>
      <c r="D9" s="50" t="inlineStr">
        <is>
          <t>Checkout/fulfillment tested; clear differentiation; real buyer feedback</t>
        </is>
      </c>
      <c r="E9" s="50" t="inlineStr">
        <is>
          <t>Founder</t>
        </is>
      </c>
      <c r="F9" s="50" t="inlineStr">
        <is>
          <t>Ready — awaiting build + checkout</t>
        </is>
      </c>
      <c r="G9" s="50" t="inlineStr">
        <is>
          <t>docs/PRICING.md</t>
        </is>
      </c>
      <c r="H9" s="50" t="inlineStr">
        <is>
          <t>Free/Pro boundary, two price messages, checkout/fulfilment/refund plan written. Exit needs Pro features behind a license, a live checkout, and real buyers.</t>
        </is>
      </c>
    </row>
    <row r="10" ht="56" customHeight="1">
      <c r="A10" s="50" t="inlineStr">
        <is>
          <t>G6</t>
        </is>
      </c>
      <c r="B10" s="50" t="inlineStr">
        <is>
          <t>Nov 23–29</t>
        </is>
      </c>
      <c r="C10" s="50" t="inlineStr">
        <is>
          <t>Continue/pivot decision</t>
        </is>
      </c>
      <c r="D10" s="50" t="inlineStr">
        <is>
          <t>&gt;=50 installs; &gt;=15 activated; &gt;=8 repeat; &gt;=3 paying; safe operation</t>
        </is>
      </c>
      <c r="E10" s="50" t="inlineStr">
        <is>
          <t>Founder</t>
        </is>
      </c>
      <c r="F10" s="50" t="inlineStr">
        <is>
          <t>Template ready</t>
        </is>
      </c>
      <c r="G10" s="50" t="inlineStr">
        <is>
          <t>docs/DECISION_MEMO.md</t>
        </is>
      </c>
      <c r="H10" s="50" t="inlineStr">
        <is>
          <t>Memo template with thresholds and formulas. Exit is the dated decision on 2026-11-29 with frozen metrics.</t>
        </is>
      </c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</sheetData>
  <mergeCells count="2">
    <mergeCell ref="A2:H2"/>
    <mergeCell ref="A1:H1"/>
  </mergeCells>
  <conditionalFormatting sqref="F5:F10">
    <cfRule type="expression" priority="1" dxfId="2">
      <formula>F5="Passed"</formula>
    </cfRule>
    <cfRule type="expression" priority="2" dxfId="3">
      <formula>OR(F5="Blocked",F5="Failed")</formula>
    </cfRule>
  </conditionalFormatting>
  <dataValidations count="1">
    <dataValidation sqref="F5:F10" showDropDown="0" showInputMessage="0" showErrorMessage="0" allowBlank="0" type="list">
      <formula1>"Not Started,In Progress,Blocked,In Review,Passed,Failed,Deferred"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48" customWidth="1" min="4" max="4"/>
    <col width="23" customWidth="1" min="5" max="5"/>
    <col width="16" customWidth="1" min="6" max="6"/>
    <col width="18" customWidth="1" min="7" max="7"/>
    <col width="62" customWidth="1" min="8" max="8"/>
    <col width="30" customWidth="1" min="9" max="9"/>
    <col width="36" customWidth="1" min="10" max="10"/>
  </cols>
  <sheetData>
    <row r="1" ht="39" customHeight="1">
      <c r="A1" s="19" t="inlineStr">
        <is>
          <t>DELIVERY BACKLOG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1" customHeight="1">
      <c r="A2" s="20" t="inlineStr">
        <is>
          <t>Update owner, status, evidence, and blockers. 'Done' requires acceptance evidence—not only an AI claim.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 ht="30" customHeight="1">
      <c r="A4" s="25" t="inlineStr">
        <is>
          <t>Task ID</t>
        </is>
      </c>
      <c r="B4" s="25" t="inlineStr">
        <is>
          <t>Gate</t>
        </is>
      </c>
      <c r="C4" s="25" t="inlineStr">
        <is>
          <t>Priority</t>
        </is>
      </c>
      <c r="D4" s="25" t="inlineStr">
        <is>
          <t>Deliverable / ticket</t>
        </is>
      </c>
      <c r="E4" s="25" t="inlineStr">
        <is>
          <t>Owner</t>
        </is>
      </c>
      <c r="F4" s="25" t="inlineStr">
        <is>
          <t>Due</t>
        </is>
      </c>
      <c r="G4" s="25" t="inlineStr">
        <is>
          <t>Status</t>
        </is>
      </c>
      <c r="H4" s="25" t="inlineStr">
        <is>
          <t>Acceptance / done condition</t>
        </is>
      </c>
      <c r="I4" s="25" t="inlineStr">
        <is>
          <t>Evidence link</t>
        </is>
      </c>
      <c r="J4" s="25" t="inlineStr">
        <is>
          <t>Blocker / notes</t>
        </is>
      </c>
    </row>
    <row r="5" ht="39" customHeight="1">
      <c r="A5" s="50" t="inlineStr">
        <is>
          <t>G1-01</t>
        </is>
      </c>
      <c r="B5" s="50" t="inlineStr">
        <is>
          <t>G1</t>
        </is>
      </c>
      <c r="C5" s="50" t="inlineStr">
        <is>
          <t>P0</t>
        </is>
      </c>
      <c r="D5" s="50" t="inlineStr">
        <is>
          <t>Competitive matrix: &gt;=10 tools</t>
        </is>
      </c>
      <c r="E5" s="50" t="inlineStr">
        <is>
          <t>Founder</t>
        </is>
      </c>
      <c r="F5" s="50" t="inlineStr">
        <is>
          <t>2026-10-22</t>
        </is>
      </c>
      <c r="G5" s="50" t="inlineStr">
        <is>
          <t>Done</t>
        </is>
      </c>
      <c r="H5" s="50" t="inlineStr">
        <is>
          <t>Features, price, links, gaps verified</t>
        </is>
      </c>
      <c r="I5" s="50" t="inlineStr">
        <is>
          <t>docs/RESEARCH_G1.md §2</t>
        </is>
      </c>
      <c r="J5" s="50" t="inlineStr">
        <is>
          <t>20 tools, A–D columns verified/unverified</t>
        </is>
      </c>
    </row>
    <row r="6" ht="39" customHeight="1">
      <c r="A6" s="50" t="inlineStr">
        <is>
          <t>G1-02</t>
        </is>
      </c>
      <c r="B6" s="50" t="inlineStr">
        <is>
          <t>G1</t>
        </is>
      </c>
      <c r="C6" s="50" t="inlineStr">
        <is>
          <t>P0</t>
        </is>
      </c>
      <c r="D6" s="50" t="inlineStr">
        <is>
          <t>Recruit 8–10 qualified interviewees</t>
        </is>
      </c>
      <c r="E6" s="50" t="inlineStr">
        <is>
          <t>Founder</t>
        </is>
      </c>
      <c r="F6" s="50" t="inlineStr">
        <is>
          <t>2026-10-23</t>
        </is>
      </c>
      <c r="G6" s="50" t="inlineStr">
        <is>
          <t>Dropped</t>
        </is>
      </c>
      <c r="H6" s="50" t="inlineStr">
        <is>
          <t>Candidates used 2+ agent sessions in last month</t>
        </is>
      </c>
      <c r="I6" s="50" t="inlineStr">
        <is>
          <t>docs/MASTER_PLAN.md §15</t>
        </is>
      </c>
      <c r="J6" s="50" t="inlineStr">
        <is>
          <t>Founder decision 2026-10-20: desk research + own incidents replace interviews</t>
        </is>
      </c>
    </row>
    <row r="7" ht="39" customHeight="1">
      <c r="A7" s="50" t="inlineStr">
        <is>
          <t>G1-03</t>
        </is>
      </c>
      <c r="B7" s="50" t="inlineStr">
        <is>
          <t>G1</t>
        </is>
      </c>
      <c r="C7" s="50" t="inlineStr">
        <is>
          <t>P0</t>
        </is>
      </c>
      <c r="D7" s="50" t="inlineStr">
        <is>
          <t>Conduct problem interviews</t>
        </is>
      </c>
      <c r="E7" s="50" t="inlineStr">
        <is>
          <t>Founder</t>
        </is>
      </c>
      <c r="F7" s="50" t="inlineStr">
        <is>
          <t>2026-10-25</t>
        </is>
      </c>
      <c r="G7" s="50" t="inlineStr">
        <is>
          <t>Dropped</t>
        </is>
      </c>
      <c r="H7" s="50" t="inlineStr">
        <is>
          <t>&gt;=8 notes; &gt;=5 recent incidents for H1</t>
        </is>
      </c>
      <c r="I7" s="50" t="inlineStr">
        <is>
          <t>docs/MASTER_PLAN.md §15</t>
        </is>
      </c>
      <c r="J7" s="50" t="inlineStr">
        <is>
          <t>see G1-02</t>
        </is>
      </c>
    </row>
    <row r="8" ht="39" customHeight="1">
      <c r="A8" s="50" t="inlineStr">
        <is>
          <t>G1-04</t>
        </is>
      </c>
      <c r="B8" s="50" t="inlineStr">
        <is>
          <t>G1</t>
        </is>
      </c>
      <c r="C8" s="50" t="inlineStr">
        <is>
          <t>P0</t>
        </is>
      </c>
      <c r="D8" s="50" t="inlineStr">
        <is>
          <t>PRD + go/no-go decision</t>
        </is>
      </c>
      <c r="E8" s="50" t="inlineStr">
        <is>
          <t>Founder</t>
        </is>
      </c>
      <c r="F8" s="50" t="inlineStr">
        <is>
          <t>2026-10-25</t>
        </is>
      </c>
      <c r="G8" s="50" t="inlineStr">
        <is>
          <t>Done</t>
        </is>
      </c>
      <c r="H8" s="50" t="inlineStr">
        <is>
          <t>Scope and unmet value wedge written</t>
        </is>
      </c>
      <c r="I8" s="50" t="inlineStr">
        <is>
          <t>docs/RESEARCH_G1.md §5; MASTER_PLAN §15</t>
        </is>
      </c>
      <c r="J8" s="50" t="inlineStr">
        <is>
          <t>GO to G2; wedge re-scoped</t>
        </is>
      </c>
    </row>
    <row r="9" ht="39" customHeight="1">
      <c r="A9" s="50" t="inlineStr">
        <is>
          <t>G2-01</t>
        </is>
      </c>
      <c r="B9" s="50" t="inlineStr">
        <is>
          <t>G2</t>
        </is>
      </c>
      <c r="C9" s="50" t="inlineStr">
        <is>
          <t>P0</t>
        </is>
      </c>
      <c r="D9" s="50" t="inlineStr">
        <is>
          <t>CLI inspect + repo/worktree model</t>
        </is>
      </c>
      <c r="E9" s="50" t="inlineStr">
        <is>
          <t>Engineering</t>
        </is>
      </c>
      <c r="F9" s="50" t="inlineStr">
        <is>
          <t>2026-10-28</t>
        </is>
      </c>
      <c r="G9" s="50" t="inlineStr">
        <is>
          <t>Done</t>
        </is>
      </c>
      <c r="H9" s="50" t="inlineStr">
        <is>
          <t>Works offline; read-only; documented output</t>
        </is>
      </c>
      <c r="I9" s="50" t="inlineStr">
        <is>
          <t>src/commands/inspect.ts; tests/cli.test.ts</t>
        </is>
      </c>
      <c r="J9" s="50" t="inlineStr">
        <is>
          <t>worktrees, locks, in-flight ops, task↔worktree map</t>
        </is>
      </c>
    </row>
    <row r="10" ht="39" customHeight="1">
      <c r="A10" s="50" t="inlineStr">
        <is>
          <t>G2-02</t>
        </is>
      </c>
      <c r="B10" s="50" t="inlineStr">
        <is>
          <t>G2</t>
        </is>
      </c>
      <c r="C10" s="50" t="inlineStr">
        <is>
          <t>P0</t>
        </is>
      </c>
      <c r="D10" s="50" t="inlineStr">
        <is>
          <t>Task manifest + explicit claims</t>
        </is>
      </c>
      <c r="E10" s="50" t="inlineStr">
        <is>
          <t>Engineering</t>
        </is>
      </c>
      <c r="F10" s="50" t="inlineStr">
        <is>
          <t>2026-10-29</t>
        </is>
      </c>
      <c r="G10" s="50" t="inlineStr">
        <is>
          <t>Done</t>
        </is>
      </c>
      <c r="H10" s="50" t="inlineStr">
        <is>
          <t>Never silently writes; validates path input</t>
        </is>
      </c>
      <c r="I10" s="50" t="inlineStr">
        <is>
          <t>src/commands/task.ts; plugins/session-agents/hooks/tasks.ts</t>
        </is>
      </c>
      <c r="J10" s="50" t="inlineStr">
        <is>
          <t>shared .guardian/tasks.json; mod holds edits and asks the user</t>
        </is>
      </c>
    </row>
    <row r="11" ht="39" customHeight="1">
      <c r="A11" s="50" t="inlineStr">
        <is>
          <t>G2-03</t>
        </is>
      </c>
      <c r="B11" s="50" t="inlineStr">
        <is>
          <t>G2</t>
        </is>
      </c>
      <c r="C11" s="50" t="inlineStr">
        <is>
          <t>P0</t>
        </is>
      </c>
      <c r="D11" s="50" t="inlineStr">
        <is>
          <t>Risk report overlapping tasks</t>
        </is>
      </c>
      <c r="E11" s="50" t="inlineStr">
        <is>
          <t>Engineering</t>
        </is>
      </c>
      <c r="F11" s="50" t="inlineStr">
        <is>
          <t>2026-10-30</t>
        </is>
      </c>
      <c r="G11" s="50" t="inlineStr">
        <is>
          <t>Done</t>
        </is>
      </c>
      <c r="H11" s="50" t="inlineStr">
        <is>
          <t>Catches overlap fixtures with evidence</t>
        </is>
      </c>
      <c r="I11" s="50" t="inlineStr">
        <is>
          <t>src/lib/analyze.ts; tests/cli.test.ts</t>
        </is>
      </c>
      <c r="J11" s="50" t="inlineStr">
        <is>
          <t>10 finding types with fixes; suggested merge order</t>
        </is>
      </c>
    </row>
    <row r="12" ht="39" customHeight="1">
      <c r="A12" s="50" t="inlineStr">
        <is>
          <t>G2-04</t>
        </is>
      </c>
      <c r="B12" s="50" t="inlineStr">
        <is>
          <t>G2</t>
        </is>
      </c>
      <c r="C12" s="50" t="inlineStr">
        <is>
          <t>P0</t>
        </is>
      </c>
      <c r="D12" s="50" t="inlineStr">
        <is>
          <t>Evidence-based handoff report</t>
        </is>
      </c>
      <c r="E12" s="50" t="inlineStr">
        <is>
          <t>Engineering</t>
        </is>
      </c>
      <c r="F12" s="50" t="inlineStr">
        <is>
          <t>2026-10-30</t>
        </is>
      </c>
      <c r="G12" s="50" t="inlineStr">
        <is>
          <t>Done</t>
        </is>
      </c>
      <c r="H12" s="50" t="inlineStr">
        <is>
          <t>Unknown test result says 'Not verified'</t>
        </is>
      </c>
      <c r="I12" s="50" t="inlineStr">
        <is>
          <t>src/commands/handoff.ts</t>
        </is>
      </c>
      <c r="J12" s="50" t="inlineStr">
        <is>
          <t>verified / supplied-not-verified / not verified; tree fingerprint</t>
        </is>
      </c>
    </row>
    <row r="13" ht="39" customHeight="1">
      <c r="A13" s="50" t="inlineStr">
        <is>
          <t>G2-05</t>
        </is>
      </c>
      <c r="B13" s="50" t="inlineStr">
        <is>
          <t>G2</t>
        </is>
      </c>
      <c r="C13" s="50" t="inlineStr">
        <is>
          <t>P0</t>
        </is>
      </c>
      <c r="D13" s="50" t="inlineStr">
        <is>
          <t>20+ fixtures and safety audit</t>
        </is>
      </c>
      <c r="E13" s="50" t="inlineStr">
        <is>
          <t>Engineering / founder</t>
        </is>
      </c>
      <c r="F13" s="50" t="inlineStr">
        <is>
          <t>2026-11-01</t>
        </is>
      </c>
      <c r="G13" s="50" t="inlineStr">
        <is>
          <t>Done</t>
        </is>
      </c>
      <c r="H13" s="50" t="inlineStr">
        <is>
          <t>All critical fixtures green; no destructive commands</t>
        </is>
      </c>
      <c r="I13" s="50" t="inlineStr">
        <is>
          <t>docs/SAFETY_AUDIT.md; tests/</t>
        </is>
      </c>
      <c r="J13" s="50" t="inlineStr">
        <is>
          <t>19 CLI + 16 mod + hook tests; audit row by row</t>
        </is>
      </c>
    </row>
    <row r="14" ht="39" customHeight="1">
      <c r="A14" s="50" t="inlineStr">
        <is>
          <t>G3-01</t>
        </is>
      </c>
      <c r="B14" s="50" t="inlineStr">
        <is>
          <t>G3</t>
        </is>
      </c>
      <c r="C14" s="50" t="inlineStr">
        <is>
          <t>P0</t>
        </is>
      </c>
      <c r="D14" s="50" t="inlineStr">
        <is>
          <t>Alpha onboarding and demo guide</t>
        </is>
      </c>
      <c r="E14" s="50" t="inlineStr">
        <is>
          <t>Founder</t>
        </is>
      </c>
      <c r="F14" s="50" t="inlineStr">
        <is>
          <t>2026-11-03</t>
        </is>
      </c>
      <c r="G14" s="50" t="inlineStr">
        <is>
          <t>Done</t>
        </is>
      </c>
      <c r="H14" s="50" t="inlineStr">
        <is>
          <t>New user can run workflow from clean clone</t>
        </is>
      </c>
      <c r="I14" s="50" t="inlineStr">
        <is>
          <t>docs/ALPHA_GUIDE.md</t>
        </is>
      </c>
      <c r="J14" s="50" t="inlineStr"/>
    </row>
    <row r="15" ht="39" customHeight="1">
      <c r="A15" s="50" t="inlineStr">
        <is>
          <t>G3-02</t>
        </is>
      </c>
      <c r="B15" s="50" t="inlineStr">
        <is>
          <t>G3</t>
        </is>
      </c>
      <c r="C15" s="50" t="inlineStr">
        <is>
          <t>P0</t>
        </is>
      </c>
      <c r="D15" s="50" t="inlineStr">
        <is>
          <t>Recruit 5 alpha testers</t>
        </is>
      </c>
      <c r="E15" s="50" t="inlineStr">
        <is>
          <t>Founder</t>
        </is>
      </c>
      <c r="F15" s="50" t="inlineStr">
        <is>
          <t>2026-11-04</t>
        </is>
      </c>
      <c r="G15" s="50" t="inlineStr">
        <is>
          <t>Ready</t>
        </is>
      </c>
      <c r="H15" s="50" t="inlineStr">
        <is>
          <t>Five distinct qualified volunteers</t>
        </is>
      </c>
      <c r="I15" s="50" t="inlineStr">
        <is>
          <t>docs/ALPHA_OUTREACH.md</t>
        </is>
      </c>
      <c r="J15" s="50" t="inlineStr">
        <is>
          <t>targets + message drafted; sending is the founder's</t>
        </is>
      </c>
    </row>
    <row r="16" ht="39" customHeight="1">
      <c r="A16" s="50" t="inlineStr">
        <is>
          <t>G3-03</t>
        </is>
      </c>
      <c r="B16" s="50" t="inlineStr">
        <is>
          <t>G3</t>
        </is>
      </c>
      <c r="C16" s="50" t="inlineStr">
        <is>
          <t>P0</t>
        </is>
      </c>
      <c r="D16" s="50" t="inlineStr">
        <is>
          <t>Observe 5 full workflows</t>
        </is>
      </c>
      <c r="E16" s="50" t="inlineStr">
        <is>
          <t>Founder</t>
        </is>
      </c>
      <c r="F16" s="50" t="inlineStr">
        <is>
          <t>2026-11-08</t>
        </is>
      </c>
      <c r="G16" s="50" t="inlineStr">
        <is>
          <t>Not Started</t>
        </is>
      </c>
      <c r="H16" s="50" t="inlineStr">
        <is>
          <t>&gt;=4 finish, feedback recorded per tester</t>
        </is>
      </c>
      <c r="I16" s="50" t="str"/>
      <c r="J16" s="50" t="str"/>
    </row>
    <row r="17" ht="39" customHeight="1">
      <c r="A17" s="50" t="inlineStr">
        <is>
          <t>G4-01</t>
        </is>
      </c>
      <c r="B17" s="50" t="inlineStr">
        <is>
          <t>G4</t>
        </is>
      </c>
      <c r="C17" s="50" t="inlineStr">
        <is>
          <t>P0</t>
        </is>
      </c>
      <c r="D17" s="50" t="inlineStr">
        <is>
          <t>Public beta release checklist</t>
        </is>
      </c>
      <c r="E17" s="50" t="inlineStr">
        <is>
          <t>Engineering / founder</t>
        </is>
      </c>
      <c r="F17" s="50" t="inlineStr">
        <is>
          <t>2026-11-11</t>
        </is>
      </c>
      <c r="G17" s="50" t="inlineStr">
        <is>
          <t>Done</t>
        </is>
      </c>
      <c r="H17" s="50" t="inlineStr">
        <is>
          <t>License, docs, privacy, changelog, smoke test</t>
        </is>
      </c>
      <c r="I17" s="50" t="inlineStr">
        <is>
          <t>docs/RELEASE_CHECKLIST.md; release v0.1.0</t>
        </is>
      </c>
      <c r="J17" s="50" t="inlineStr"/>
    </row>
    <row r="18" ht="39" customHeight="1">
      <c r="A18" s="50" t="inlineStr">
        <is>
          <t>G4-02</t>
        </is>
      </c>
      <c r="B18" s="50" t="inlineStr">
        <is>
          <t>G4</t>
        </is>
      </c>
      <c r="C18" s="50" t="inlineStr">
        <is>
          <t>P1</t>
        </is>
      </c>
      <c r="D18" s="50" t="inlineStr">
        <is>
          <t>2 short product demo videos</t>
        </is>
      </c>
      <c r="E18" s="50" t="inlineStr">
        <is>
          <t>Founder</t>
        </is>
      </c>
      <c r="F18" s="50" t="inlineStr">
        <is>
          <t>2026-11-13</t>
        </is>
      </c>
      <c r="G18" s="50" t="inlineStr">
        <is>
          <t>Done (terminal clips)</t>
        </is>
      </c>
      <c r="H18" s="50" t="inlineStr">
        <is>
          <t>Screens include overlap and handoff scenarios</t>
        </is>
      </c>
      <c r="I18" s="50" t="inlineStr">
        <is>
          <t>demo/recordings/</t>
        </is>
      </c>
      <c r="J18" s="50" t="inlineStr">
        <is>
          <t>script ready; recordings owed</t>
        </is>
      </c>
    </row>
    <row r="19" ht="39" customHeight="1">
      <c r="A19" s="50" t="inlineStr">
        <is>
          <t>G4-03</t>
        </is>
      </c>
      <c r="B19" s="50" t="inlineStr">
        <is>
          <t>G4</t>
        </is>
      </c>
      <c r="C19" s="50" t="inlineStr">
        <is>
          <t>P1</t>
        </is>
      </c>
      <c r="D19" s="50" t="inlineStr">
        <is>
          <t>Launch distribution experiments</t>
        </is>
      </c>
      <c r="E19" s="50" t="inlineStr">
        <is>
          <t>Founder</t>
        </is>
      </c>
      <c r="F19" s="50" t="inlineStr">
        <is>
          <t>2026-11-15</t>
        </is>
      </c>
      <c r="G19" s="50" t="inlineStr">
        <is>
          <t>Ready</t>
        </is>
      </c>
      <c r="H19" s="50" t="inlineStr">
        <is>
          <t>Channels logged; follows community rules</t>
        </is>
      </c>
      <c r="I19" s="50" t="inlineStr">
        <is>
          <t>docs/RESEARCH_G1.md §4 channel list</t>
        </is>
      </c>
      <c r="J19" s="50" t="inlineStr">
        <is>
          <t>directory submission + Reddit/HN/X posts are the founder's</t>
        </is>
      </c>
    </row>
    <row r="20" ht="39" customHeight="1">
      <c r="A20" s="50" t="inlineStr">
        <is>
          <t>G5-01</t>
        </is>
      </c>
      <c r="B20" s="50" t="inlineStr">
        <is>
          <t>G5</t>
        </is>
      </c>
      <c r="C20" s="50" t="inlineStr">
        <is>
          <t>P0</t>
        </is>
      </c>
      <c r="D20" s="50" t="inlineStr">
        <is>
          <t>Paid value and pricing experiment</t>
        </is>
      </c>
      <c r="E20" s="50" t="inlineStr">
        <is>
          <t>Founder</t>
        </is>
      </c>
      <c r="F20" s="50" t="inlineStr">
        <is>
          <t>2026-11-18</t>
        </is>
      </c>
      <c r="G20" s="50" t="inlineStr">
        <is>
          <t>In Progress</t>
        </is>
      </c>
      <c r="H20" s="50" t="inlineStr">
        <is>
          <t>Distinct Pro benefit; non-leading buyer feedback</t>
        </is>
      </c>
      <c r="I20" s="50" t="inlineStr">
        <is>
          <t>workspace-guardian-pro@400c0cb; src/lib/license.ts; tests/pro.test.ts</t>
        </is>
      </c>
      <c r="J20" s="50" t="inlineStr">
        <is>
          <t>Pro 0.1.0 built + verified with a signed key 2026-10-23; checkout page and price messages still owed</t>
        </is>
      </c>
    </row>
    <row r="21" ht="39" customHeight="1">
      <c r="A21" s="50" t="inlineStr">
        <is>
          <t>G5-02</t>
        </is>
      </c>
      <c r="B21" s="50" t="inlineStr">
        <is>
          <t>G5</t>
        </is>
      </c>
      <c r="C21" s="50" t="inlineStr">
        <is>
          <t>P0</t>
        </is>
      </c>
      <c r="D21" s="50" t="inlineStr">
        <is>
          <t>Checkout, fulfillment, support test</t>
        </is>
      </c>
      <c r="E21" s="50" t="inlineStr">
        <is>
          <t>Founder</t>
        </is>
      </c>
      <c r="F21" s="50" t="inlineStr">
        <is>
          <t>2026-11-20</t>
        </is>
      </c>
      <c r="G21" s="50" t="inlineStr">
        <is>
          <t>Ready — founder setup</t>
        </is>
      </c>
      <c r="H21" s="50" t="inlineStr">
        <is>
          <t>Successful test order, delivery and policy</t>
        </is>
      </c>
      <c r="I21" s="50" t="inlineStr">
        <is>
          <t>docs/CHECKOUT_LEMONSQUEEZY.md; workspace-guardian-pro scripts/pack.sh, scripts/fulfil.ts</t>
        </is>
      </c>
      <c r="J21" s="50" t="inlineStr">
        <is>
          <t>engineering done 2026-10-23; store creation, test purchase and refund are the founder's</t>
        </is>
      </c>
    </row>
    <row r="22" ht="39" customHeight="1">
      <c r="A22" s="50" t="inlineStr">
        <is>
          <t>G6-01</t>
        </is>
      </c>
      <c r="B22" s="50" t="inlineStr">
        <is>
          <t>G6</t>
        </is>
      </c>
      <c r="C22" s="50" t="inlineStr">
        <is>
          <t>P0</t>
        </is>
      </c>
      <c r="D22" s="50" t="inlineStr">
        <is>
          <t>Cohort/funnel and safety review</t>
        </is>
      </c>
      <c r="E22" s="50" t="inlineStr">
        <is>
          <t>Founder</t>
        </is>
      </c>
      <c r="F22" s="50" t="inlineStr">
        <is>
          <t>2026-11-28</t>
        </is>
      </c>
      <c r="G22" s="50" t="inlineStr">
        <is>
          <t>Not Started</t>
        </is>
      </c>
      <c r="H22" s="50" t="inlineStr">
        <is>
          <t>Metrics deduplicated, evidence reviewed</t>
        </is>
      </c>
      <c r="I22" s="50" t="str"/>
      <c r="J22" s="50" t="str"/>
    </row>
    <row r="23" ht="39" customHeight="1">
      <c r="A23" s="50" t="inlineStr">
        <is>
          <t>G6-02</t>
        </is>
      </c>
      <c r="B23" s="50" t="inlineStr">
        <is>
          <t>G6</t>
        </is>
      </c>
      <c r="C23" s="50" t="inlineStr">
        <is>
          <t>P0</t>
        </is>
      </c>
      <c r="D23" s="50" t="inlineStr">
        <is>
          <t>Scale/iterate/pivot/stop memo</t>
        </is>
      </c>
      <c r="E23" s="50" t="inlineStr">
        <is>
          <t>Founder</t>
        </is>
      </c>
      <c r="F23" s="50" t="inlineStr">
        <is>
          <t>2026-11-29</t>
        </is>
      </c>
      <c r="G23" s="50" t="inlineStr">
        <is>
          <t>Template</t>
        </is>
      </c>
      <c r="H23" s="50" t="inlineStr">
        <is>
          <t>Decision, reasons, 30-day next actions</t>
        </is>
      </c>
      <c r="I23" s="50" t="inlineStr">
        <is>
          <t>docs/DECISION_MEMO.md</t>
        </is>
      </c>
      <c r="J23" s="50" t="inlineStr"/>
    </row>
    <row r="24">
      <c r="A24" s="18" t="inlineStr">
        <is>
          <t>G2-06</t>
        </is>
      </c>
      <c r="B24" s="18" t="inlineStr">
        <is>
          <t>G2</t>
        </is>
      </c>
      <c r="C24" s="18" t="inlineStr">
        <is>
          <t>P0</t>
        </is>
      </c>
      <c r="D24" s="18" t="inlineStr">
        <is>
          <t>Push to GitHub, CI green on ubuntu+macos, replace &lt;owner&gt;/&lt;repo&gt;</t>
        </is>
      </c>
      <c r="E24" s="18" t="inlineStr">
        <is>
          <t>Founder / engineering</t>
        </is>
      </c>
      <c r="F24" s="18" t="inlineStr">
        <is>
          <t>2026-10-24</t>
        </is>
      </c>
      <c r="G24" s="18" t="inlineStr">
        <is>
          <t>Done</t>
        </is>
      </c>
      <c r="H24" s="18" t="inlineStr">
        <is>
          <t>.github/workflows/ci.yml passes on both OSes</t>
        </is>
      </c>
      <c r="I24" s="18" t="inlineStr">
        <is>
          <t>https://github.com/d10or/workspace-guardian/actions/runs/39390316230</t>
        </is>
      </c>
      <c r="J24" s="18" t="inlineStr">
        <is>
          <t>3 jobs green on first push</t>
        </is>
      </c>
    </row>
    <row r="25">
      <c r="A25" s="18" t="inlineStr">
        <is>
          <t>G2-07</t>
        </is>
      </c>
      <c r="B25" s="18" t="inlineStr">
        <is>
          <t>G2</t>
        </is>
      </c>
      <c r="C25" s="18" t="inlineStr">
        <is>
          <t>P0</t>
        </is>
      </c>
      <c r="D25" s="18" t="inlineStr">
        <is>
          <t>Choose license (R7) and add LICENSE</t>
        </is>
      </c>
      <c r="E25" s="18" t="inlineStr">
        <is>
          <t>Founder</t>
        </is>
      </c>
      <c r="F25" s="18" t="inlineStr">
        <is>
          <t>2026-10-24</t>
        </is>
      </c>
      <c r="G25" s="18" t="inlineStr">
        <is>
          <t>Done</t>
        </is>
      </c>
      <c r="H25" s="18" t="inlineStr">
        <is>
          <t>LICENSE file; package.json license updated</t>
        </is>
      </c>
      <c r="I25" s="18" t="inlineStr">
        <is>
          <t>LICENSE; package.json</t>
        </is>
      </c>
      <c r="J25" s="18" t="inlineStr">
        <is>
          <t>MIT</t>
        </is>
      </c>
    </row>
    <row r="26">
      <c r="A26" s="18" t="inlineStr">
        <is>
          <t>G2-08</t>
        </is>
      </c>
      <c r="B26" s="18" t="inlineStr">
        <is>
          <t>G2</t>
        </is>
      </c>
      <c r="C26" s="18" t="inlineStr">
        <is>
          <t>P1</t>
        </is>
      </c>
      <c r="D26" s="18" t="inlineStr">
        <is>
          <t>Mod: per-session files for notes/pins/messages; version-match test</t>
        </is>
      </c>
      <c r="E26" s="18" t="inlineStr">
        <is>
          <t>Engineering</t>
        </is>
      </c>
      <c r="F26" s="18" t="inlineStr">
        <is>
          <t>2026-10-30</t>
        </is>
      </c>
      <c r="G26" s="18" t="inlineStr">
        <is>
          <t>Done</t>
        </is>
      </c>
      <c r="H26" s="18" t="inlineStr">
        <is>
          <t>claude plugin test green</t>
        </is>
      </c>
      <c r="I26" s="18" t="inlineStr">
        <is>
          <t>plugins/session-agents v0.15.0; .github/workflows/ci.yml</t>
        </is>
      </c>
      <c r="J26" s="18" t="inlineStr">
        <is>
          <t>messages per session, timer guard, version check in CI</t>
        </is>
      </c>
    </row>
    <row r="27">
      <c r="A27" s="18" t="inlineStr">
        <is>
          <t>G2-09</t>
        </is>
      </c>
      <c r="B27" s="18" t="inlineStr">
        <is>
          <t>G2</t>
        </is>
      </c>
      <c r="C27" s="18" t="inlineStr">
        <is>
          <t>P1</t>
        </is>
      </c>
      <c r="D27" s="18" t="inlineStr">
        <is>
          <t>Record demo: clean repo, risky overlap, safe handoff</t>
        </is>
      </c>
      <c r="E27" s="18" t="inlineStr">
        <is>
          <t>Founder</t>
        </is>
      </c>
      <c r="F27" s="18" t="inlineStr">
        <is>
          <t>2026-11-01</t>
        </is>
      </c>
      <c r="G27" s="18" t="inlineStr">
        <is>
          <t>Done (terminal clips)</t>
        </is>
      </c>
      <c r="H27" s="18" t="inlineStr">
        <is>
          <t>2 short recordings</t>
        </is>
      </c>
      <c r="I27" s="18" t="inlineStr">
        <is>
          <t>demo/recordings/*.gif; README "See it"</t>
        </is>
      </c>
      <c r="J27" s="18" t="inlineStr">
        <is>
          <t>3 terminal clips recorded by Claude, approved by founder 2026-10-20; the in-Claude-Code Allow/Deny clip is still the founder's</t>
        </is>
      </c>
    </row>
    <row r="28">
      <c r="A28" s="18" t="inlineStr">
        <is>
          <t>G4-04</t>
        </is>
      </c>
      <c r="B28" s="18" t="inlineStr">
        <is>
          <t>G4</t>
        </is>
      </c>
      <c r="C28" s="18" t="inlineStr">
        <is>
          <t>P2</t>
        </is>
      </c>
      <c r="D28" s="18" t="inlineStr">
        <is>
          <t>Free SKILL.md wrapper for the CLI listed on Agensi.io (discovery for Cursor/Codex users)</t>
        </is>
      </c>
      <c r="E28" s="18" t="inlineStr">
        <is>
          <t>Engineering / founder</t>
        </is>
      </c>
      <c r="F28" s="18" t="inlineStr">
        <is>
          <t>2026-11-20</t>
        </is>
      </c>
      <c r="G28" s="18" t="inlineStr">
        <is>
          <t>Not Started</t>
        </is>
      </c>
      <c r="H28" s="18" t="inlineStr">
        <is>
          <t>skill lists, points at repo + store; zero Pro content</t>
        </is>
      </c>
      <c r="I28" s="18" t="inlineStr"/>
      <c r="J28" s="18" t="inlineStr">
        <is>
          <t>after launch data exists; never Pro</t>
        </is>
      </c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</row>
  </sheetData>
  <mergeCells count="2">
    <mergeCell ref="A1:J1"/>
    <mergeCell ref="A2:J2"/>
  </mergeCells>
  <conditionalFormatting sqref="G5:G60">
    <cfRule type="expression" priority="1" dxfId="2">
      <formula>G5="Done"</formula>
    </cfRule>
    <cfRule type="expression" priority="2" dxfId="3">
      <formula>G5="Blocked"</formula>
    </cfRule>
  </conditionalFormatting>
  <dataValidations count="2">
    <dataValidation sqref="C5:C60" showDropDown="0" showInputMessage="0" showErrorMessage="0" allowBlank="0" type="list">
      <formula1>"P0,P1,P2"</formula1>
    </dataValidation>
    <dataValidation sqref="G5:G60" showDropDown="0" showInputMessage="0" showErrorMessage="0" allowBlank="0" type="list">
      <formula1>"Not Started,In Progress,In Review,Blocked,Done,Deferred"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0" customWidth="1" min="4" max="4"/>
    <col width="22" customWidth="1" min="5" max="5"/>
    <col width="22" customWidth="1" min="6" max="6"/>
    <col width="20" customWidth="1" min="7" max="7"/>
    <col width="21" customWidth="1" min="8" max="8"/>
    <col width="23" customWidth="1" min="9" max="9"/>
    <col width="16" customWidth="1" min="10" max="10"/>
    <col width="16" customWidth="1" min="11" max="11"/>
    <col width="16" customWidth="1" min="12" max="12"/>
    <col width="19" customWidth="1" min="13" max="13"/>
    <col width="58" customWidth="1" min="14" max="14"/>
  </cols>
  <sheetData>
    <row r="1" ht="39" customHeight="1">
      <c r="A1" s="19" t="inlineStr">
        <is>
          <t>WEEKLY METRICS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1" customHeight="1">
      <c r="A2" s="20" t="inlineStr">
        <is>
          <t>Editable cells start at B5. Enter NEW unique counts per week; do not double-count returning users.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</row>
    <row r="4" ht="30" customHeight="1">
      <c r="A4" s="25" t="inlineStr">
        <is>
          <t>Week ending</t>
        </is>
      </c>
      <c r="B4" s="25" t="inlineStr">
        <is>
          <t>Qualified interviews (info)</t>
        </is>
      </c>
      <c r="C4" s="25" t="inlineStr">
        <is>
          <t>Recent pain (info)</t>
        </is>
      </c>
      <c r="D4" s="25" t="inlineStr">
        <is>
          <t>Alpha started (info)</t>
        </is>
      </c>
      <c r="E4" s="25" t="inlineStr">
        <is>
          <t>Alpha completed (info)</t>
        </is>
      </c>
      <c r="F4" s="25" t="inlineStr">
        <is>
          <t>New unique installs</t>
        </is>
      </c>
      <c r="G4" s="25" t="inlineStr">
        <is>
          <t>New activated</t>
        </is>
      </c>
      <c r="H4" s="25" t="inlineStr">
        <is>
          <t>New users 2nd use</t>
        </is>
      </c>
      <c r="I4" s="25" t="inlineStr">
        <is>
          <t>New paying customers</t>
        </is>
      </c>
      <c r="J4" s="25" t="inlineStr">
        <is>
          <t>Gross USD</t>
        </is>
      </c>
      <c r="K4" s="25" t="inlineStr">
        <is>
          <t>Refunds USD</t>
        </is>
      </c>
      <c r="L4" s="25" t="inlineStr">
        <is>
          <t>Fees USD</t>
        </is>
      </c>
      <c r="M4" s="25" t="inlineStr">
        <is>
          <t>Critical incidents</t>
        </is>
      </c>
      <c r="N4" s="25" t="inlineStr">
        <is>
          <t>Evidence / channel notes</t>
        </is>
      </c>
    </row>
    <row r="5" ht="29" customHeight="1">
      <c r="A5" s="18" t="inlineStr">
        <is>
          <t>2026-10-25</t>
        </is>
      </c>
      <c r="B5" s="52" t="n"/>
      <c r="C5" s="52" t="n"/>
      <c r="D5" s="52" t="n"/>
      <c r="E5" s="52" t="n"/>
      <c r="F5" s="52" t="n"/>
      <c r="G5" s="52" t="n"/>
      <c r="H5" s="52" t="n"/>
      <c r="I5" s="52" t="n"/>
      <c r="J5" s="66" t="n"/>
      <c r="K5" s="66" t="n"/>
      <c r="L5" s="66" t="n"/>
      <c r="M5" s="52" t="n"/>
      <c r="N5" s="18" t="n"/>
    </row>
    <row r="6" ht="29" customHeight="1">
      <c r="A6" s="18" t="inlineStr">
        <is>
          <t>2026-11-01</t>
        </is>
      </c>
      <c r="B6" s="52" t="n"/>
      <c r="C6" s="52" t="n"/>
      <c r="D6" s="52" t="n"/>
      <c r="E6" s="52" t="n"/>
      <c r="F6" s="52" t="n"/>
      <c r="G6" s="52" t="n"/>
      <c r="H6" s="52" t="n"/>
      <c r="I6" s="52" t="n"/>
      <c r="J6" s="66" t="n"/>
      <c r="K6" s="66" t="n"/>
      <c r="L6" s="66" t="n"/>
      <c r="M6" s="52" t="n"/>
      <c r="N6" s="18" t="n"/>
    </row>
    <row r="7" ht="29" customHeight="1">
      <c r="A7" s="18" t="inlineStr">
        <is>
          <t>2026-11-08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66" t="n"/>
      <c r="K7" s="66" t="n"/>
      <c r="L7" s="66" t="n"/>
      <c r="M7" s="52" t="n"/>
      <c r="N7" s="18" t="n"/>
    </row>
    <row r="8" ht="29" customHeight="1">
      <c r="A8" s="18" t="inlineStr">
        <is>
          <t>2026-11-15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66" t="n"/>
      <c r="K8" s="66" t="n"/>
      <c r="L8" s="66" t="n"/>
      <c r="M8" s="52" t="n"/>
      <c r="N8" s="18" t="n"/>
    </row>
    <row r="9" ht="29" customHeight="1">
      <c r="A9" s="18" t="inlineStr">
        <is>
          <t>2026-11-22</t>
        </is>
      </c>
      <c r="B9" s="52" t="n"/>
      <c r="C9" s="52" t="n"/>
      <c r="D9" s="52" t="n"/>
      <c r="E9" s="52" t="n"/>
      <c r="F9" s="52" t="n"/>
      <c r="G9" s="52" t="n"/>
      <c r="H9" s="52" t="n"/>
      <c r="I9" s="52" t="n"/>
      <c r="J9" s="66" t="n"/>
      <c r="K9" s="66" t="n"/>
      <c r="L9" s="66" t="n"/>
      <c r="M9" s="52" t="n"/>
      <c r="N9" s="18" t="n"/>
    </row>
    <row r="10" ht="29" customHeight="1">
      <c r="A10" s="18" t="inlineStr">
        <is>
          <t>2026-11-29</t>
        </is>
      </c>
      <c r="B10" s="52" t="n"/>
      <c r="C10" s="52" t="n"/>
      <c r="D10" s="52" t="n"/>
      <c r="E10" s="52" t="n"/>
      <c r="F10" s="52" t="n"/>
      <c r="G10" s="52" t="n"/>
      <c r="H10" s="52" t="n"/>
      <c r="I10" s="52" t="n"/>
      <c r="J10" s="66" t="n"/>
      <c r="K10" s="66" t="n"/>
      <c r="L10" s="66" t="n"/>
      <c r="M10" s="52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39" customHeight="1">
      <c r="A13" s="61" t="inlineStr">
        <is>
          <t>WARNING: Blank means not reported. A zero means reviewed and confirmed zero. Entries in B–E are informational; dashboard uses Interview Log and Alpha Testers.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</sheetData>
  <mergeCells count="3">
    <mergeCell ref="A13:N13"/>
    <mergeCell ref="A2:N2"/>
    <mergeCell ref="A1:N1"/>
  </mergeCells>
  <conditionalFormatting sqref="F5:I10">
    <cfRule type="dataBar" priority="1">
      <dataBar>
        <cfvo type="min"/>
        <cfvo type="max"/>
        <color rgb="FF087E8B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9" customWidth="1" min="1" max="1"/>
    <col width="17" customWidth="1" min="2" max="2"/>
    <col width="27" customWidth="1" min="3" max="3"/>
    <col width="19" customWidth="1" min="4" max="4"/>
    <col width="25" customWidth="1" min="5" max="5"/>
    <col width="55" customWidth="1" min="6" max="6"/>
    <col width="40" customWidth="1" min="7" max="7"/>
    <col width="43" customWidth="1" min="8" max="8"/>
    <col width="27" customWidth="1" min="9" max="9"/>
    <col width="46" customWidth="1" min="10" max="10"/>
  </cols>
  <sheetData>
    <row r="1" ht="39" customHeight="1">
      <c r="A1" s="19" t="inlineStr">
        <is>
          <t>CUSTOMER DISCOVERY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1" customHeight="1">
      <c r="A2" s="20" t="inlineStr">
        <is>
          <t>Use anonymized interview IDs. Do not store full names, personal emails, or proprietary code here.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 ht="30" customHeight="1">
      <c r="A4" s="25" t="inlineStr">
        <is>
          <t>Interview ID</t>
        </is>
      </c>
      <c r="B4" s="25" t="inlineStr">
        <is>
          <t>Date</t>
        </is>
      </c>
      <c r="C4" s="25" t="inlineStr">
        <is>
          <t>Channel / persona</t>
        </is>
      </c>
      <c r="D4" s="25" t="inlineStr">
        <is>
          <t>Qualified?</t>
        </is>
      </c>
      <c r="E4" s="25" t="inlineStr">
        <is>
          <t>Specific recent incident?</t>
        </is>
      </c>
      <c r="F4" s="25" t="inlineStr">
        <is>
          <t>Incident / time lost (sanitized)</t>
        </is>
      </c>
      <c r="G4" s="25" t="inlineStr">
        <is>
          <t>Current workaround</t>
        </is>
      </c>
      <c r="H4" s="25" t="inlineStr">
        <is>
          <t>Top unmet pain</t>
        </is>
      </c>
      <c r="I4" s="25" t="inlineStr">
        <is>
          <t>Would pay after demo?</t>
        </is>
      </c>
      <c r="J4" s="25" t="inlineStr">
        <is>
          <t>Evidence / notes</t>
        </is>
      </c>
    </row>
    <row r="5" ht="36" customHeight="1">
      <c r="A5" s="50" t="n"/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</row>
    <row r="6" ht="36" customHeight="1">
      <c r="A6" s="50" t="n"/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</row>
    <row r="7" ht="36" customHeight="1">
      <c r="A7" s="50" t="n"/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</row>
    <row r="8" ht="36" customHeight="1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</row>
    <row r="9" ht="36" customHeight="1">
      <c r="A9" s="50" t="n"/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</row>
    <row r="10" ht="36" customHeight="1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</row>
    <row r="11" ht="36" customHeight="1">
      <c r="A11" s="50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</row>
    <row r="12" ht="36" customHeight="1">
      <c r="A12" s="50" t="n"/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</row>
    <row r="13" ht="36" customHeight="1">
      <c r="A13" s="50" t="n"/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</row>
    <row r="14" ht="36" customHeight="1">
      <c r="A14" s="50" t="n"/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</row>
    <row r="15" ht="36" customHeight="1">
      <c r="A15" s="50" t="n"/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</row>
    <row r="16" ht="36" customHeight="1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</row>
    <row r="24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</row>
    <row r="25">
      <c r="A25" s="5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</row>
    <row r="26">
      <c r="A26" s="50" t="n"/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</row>
    <row r="28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</row>
    <row r="29">
      <c r="A29" s="50" t="n"/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</row>
    <row r="30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</row>
    <row r="31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</row>
    <row r="32">
      <c r="A32" s="50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</row>
    <row r="33">
      <c r="A33" s="50" t="n"/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</row>
    <row r="34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</row>
    <row r="35">
      <c r="A35" s="50" t="n"/>
      <c r="B35" s="50" t="n"/>
      <c r="C35" s="50" t="n"/>
      <c r="D35" s="50" t="n"/>
      <c r="E35" s="50" t="n"/>
      <c r="F35" s="50" t="n"/>
      <c r="G35" s="50" t="n"/>
      <c r="H35" s="50" t="n"/>
      <c r="I35" s="50" t="n"/>
      <c r="J35" s="50" t="n"/>
    </row>
    <row r="36">
      <c r="A36" s="50" t="n"/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</row>
    <row r="37">
      <c r="A37" s="50" t="n"/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</row>
    <row r="38">
      <c r="A38" s="50" t="n"/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</row>
    <row r="39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</row>
    <row r="40">
      <c r="A40" s="50" t="n"/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</row>
  </sheetData>
  <mergeCells count="2">
    <mergeCell ref="A1:J1"/>
    <mergeCell ref="A2:J2"/>
  </mergeCells>
  <dataValidations count="2">
    <dataValidation sqref="D5:E40" showDropDown="0" showInputMessage="0" showErrorMessage="0" allowBlank="0" type="list">
      <formula1>"Yes,No,Unknown"</formula1>
    </dataValidation>
    <dataValidation sqref="I5:I40" showDropDown="0" showInputMessage="0" showErrorMessage="0" allowBlank="0" type="list">
      <formula1>"Yes,No,Maybe,Not asked"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9" customWidth="1" min="1" max="1"/>
    <col width="18" customWidth="1" min="2" max="2"/>
    <col width="20" customWidth="1" min="3" max="3"/>
    <col width="47" customWidth="1" min="4" max="4"/>
    <col width="20" customWidth="1" min="5" max="5"/>
    <col width="56" customWidth="1" min="6" max="6"/>
    <col width="20" customWidth="1" min="7" max="7"/>
    <col width="20" customWidth="1" min="8" max="8"/>
    <col width="58" customWidth="1" min="9" max="9"/>
  </cols>
  <sheetData>
    <row r="1" ht="39" customHeight="1">
      <c r="A1" s="19" t="inlineStr">
        <is>
          <t>ALPHA TESTER LOG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1" customHeight="1">
      <c r="A2" s="20" t="inlineStr">
        <is>
          <t>One tester per row. Completion means independently finished inspect → claim → check → handoff.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</row>
    <row r="4" ht="30" customHeight="1">
      <c r="A4" s="25" t="inlineStr">
        <is>
          <t>Tester ID</t>
        </is>
      </c>
      <c r="B4" s="25" t="inlineStr">
        <is>
          <t>Date</t>
        </is>
      </c>
      <c r="C4" s="25" t="inlineStr">
        <is>
          <t>Qualified?</t>
        </is>
      </c>
      <c r="D4" s="25" t="inlineStr">
        <is>
          <t>Completed scenario? (notes)</t>
        </is>
      </c>
      <c r="E4" s="25" t="inlineStr">
        <is>
          <t>Completed?</t>
        </is>
      </c>
      <c r="F4" s="25" t="inlineStr">
        <is>
          <t>Usability issue</t>
        </is>
      </c>
      <c r="G4" s="25" t="inlineStr">
        <is>
          <t>Would use again?</t>
        </is>
      </c>
      <c r="H4" s="25" t="inlineStr">
        <is>
          <t>Safety issue?</t>
        </is>
      </c>
      <c r="I4" s="25" t="inlineStr">
        <is>
          <t>Evidence / follow-up</t>
        </is>
      </c>
    </row>
    <row r="5" ht="35" customHeight="1">
      <c r="A5" s="50" t="n"/>
      <c r="B5" s="50" t="n"/>
      <c r="C5" s="50" t="n"/>
      <c r="D5" s="50" t="n"/>
      <c r="E5" s="50" t="n"/>
      <c r="F5" s="50" t="n"/>
      <c r="G5" s="50" t="n"/>
      <c r="H5" s="50" t="n"/>
      <c r="I5" s="50" t="n"/>
    </row>
    <row r="6" ht="35" customHeight="1">
      <c r="A6" s="50" t="n"/>
      <c r="B6" s="50" t="n"/>
      <c r="C6" s="50" t="n"/>
      <c r="D6" s="50" t="n"/>
      <c r="E6" s="50" t="n"/>
      <c r="F6" s="50" t="n"/>
      <c r="G6" s="50" t="n"/>
      <c r="H6" s="50" t="n"/>
      <c r="I6" s="50" t="n"/>
    </row>
    <row r="7" ht="35" customHeight="1">
      <c r="A7" s="50" t="n"/>
      <c r="B7" s="50" t="n"/>
      <c r="C7" s="50" t="n"/>
      <c r="D7" s="50" t="n"/>
      <c r="E7" s="50" t="n"/>
      <c r="F7" s="50" t="n"/>
      <c r="G7" s="50" t="n"/>
      <c r="H7" s="50" t="n"/>
      <c r="I7" s="50" t="n"/>
    </row>
    <row r="8" ht="35" customHeight="1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</row>
    <row r="9" ht="35" customHeight="1">
      <c r="A9" s="50" t="n"/>
      <c r="B9" s="50" t="n"/>
      <c r="C9" s="50" t="n"/>
      <c r="D9" s="50" t="n"/>
      <c r="E9" s="50" t="n"/>
      <c r="F9" s="50" t="n"/>
      <c r="G9" s="50" t="n"/>
      <c r="H9" s="50" t="n"/>
      <c r="I9" s="50" t="n"/>
    </row>
    <row r="10" ht="35" customHeight="1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</row>
    <row r="11" ht="35" customHeight="1">
      <c r="A11" s="50" t="n"/>
      <c r="B11" s="50" t="n"/>
      <c r="C11" s="50" t="n"/>
      <c r="D11" s="50" t="n"/>
      <c r="E11" s="50" t="n"/>
      <c r="F11" s="50" t="n"/>
      <c r="G11" s="50" t="n"/>
      <c r="H11" s="50" t="n"/>
      <c r="I11" s="50" t="n"/>
    </row>
    <row r="12" ht="35" customHeight="1">
      <c r="A12" s="50" t="n"/>
      <c r="B12" s="50" t="n"/>
      <c r="C12" s="50" t="n"/>
      <c r="D12" s="50" t="n"/>
      <c r="E12" s="50" t="n"/>
      <c r="F12" s="50" t="n"/>
      <c r="G12" s="50" t="n"/>
      <c r="H12" s="50" t="n"/>
      <c r="I12" s="50" t="n"/>
    </row>
    <row r="13" ht="35" customHeight="1">
      <c r="A13" s="50" t="n"/>
      <c r="B13" s="50" t="n"/>
      <c r="C13" s="50" t="n"/>
      <c r="D13" s="50" t="n"/>
      <c r="E13" s="50" t="n"/>
      <c r="F13" s="50" t="n"/>
      <c r="G13" s="50" t="n"/>
      <c r="H13" s="50" t="n"/>
      <c r="I13" s="50" t="n"/>
    </row>
    <row r="14" ht="35" customHeight="1">
      <c r="A14" s="50" t="n"/>
      <c r="B14" s="50" t="n"/>
      <c r="C14" s="50" t="n"/>
      <c r="D14" s="50" t="n"/>
      <c r="E14" s="50" t="n"/>
      <c r="F14" s="50" t="n"/>
      <c r="G14" s="50" t="n"/>
      <c r="H14" s="50" t="n"/>
      <c r="I14" s="50" t="n"/>
    </row>
    <row r="15" ht="35" customHeight="1">
      <c r="A15" s="50" t="n"/>
      <c r="B15" s="50" t="n"/>
      <c r="C15" s="50" t="n"/>
      <c r="D15" s="50" t="n"/>
      <c r="E15" s="50" t="n"/>
      <c r="F15" s="50" t="n"/>
      <c r="G15" s="50" t="n"/>
      <c r="H15" s="50" t="n"/>
      <c r="I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</row>
    <row r="24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</row>
    <row r="25">
      <c r="A25" s="50" t="n"/>
      <c r="B25" s="50" t="n"/>
      <c r="C25" s="50" t="n"/>
      <c r="D25" s="50" t="n"/>
      <c r="E25" s="50" t="n"/>
      <c r="F25" s="50" t="n"/>
      <c r="G25" s="50" t="n"/>
      <c r="H25" s="50" t="n"/>
      <c r="I25" s="50" t="n"/>
    </row>
    <row r="26">
      <c r="A26" s="50" t="n"/>
      <c r="B26" s="50" t="n"/>
      <c r="C26" s="50" t="n"/>
      <c r="D26" s="50" t="n"/>
      <c r="E26" s="50" t="n"/>
      <c r="F26" s="50" t="n"/>
      <c r="G26" s="50" t="n"/>
      <c r="H26" s="50" t="n"/>
      <c r="I26" s="50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</row>
    <row r="28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</row>
    <row r="29">
      <c r="A29" s="50" t="n"/>
      <c r="B29" s="50" t="n"/>
      <c r="C29" s="50" t="n"/>
      <c r="D29" s="50" t="n"/>
      <c r="E29" s="50" t="n"/>
      <c r="F29" s="50" t="n"/>
      <c r="G29" s="50" t="n"/>
      <c r="H29" s="50" t="n"/>
      <c r="I29" s="50" t="n"/>
    </row>
    <row r="30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</sheetData>
  <mergeCells count="2">
    <mergeCell ref="A1:I1"/>
    <mergeCell ref="A2:I2"/>
  </mergeCells>
  <dataValidations count="3">
    <dataValidation sqref="C5:C30" showDropDown="0" showInputMessage="0" showErrorMessage="0" allowBlank="0" type="list">
      <formula1>"Yes,No,Unknown"</formula1>
    </dataValidation>
    <dataValidation sqref="E5:E30" showDropDown="0" showInputMessage="0" showErrorMessage="0" allowBlank="0" type="list">
      <formula1>"Yes,No"</formula1>
    </dataValidation>
    <dataValidation sqref="G5:H30" showDropDown="0" showInputMessage="0" showErrorMessage="0" allowBlank="0" type="list">
      <formula1>"Yes,No,Unknown"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3" customWidth="1" min="1" max="1"/>
    <col width="39" customWidth="1" min="2" max="2"/>
    <col width="17" customWidth="1" min="3" max="3"/>
    <col width="17" customWidth="1" min="4" max="4"/>
    <col width="52" customWidth="1" min="5" max="5"/>
    <col width="52" customWidth="1" min="6" max="6"/>
    <col width="20" customWidth="1" min="7" max="7"/>
    <col width="17" customWidth="1" min="8" max="8"/>
  </cols>
  <sheetData>
    <row r="1" ht="39" customHeight="1">
      <c r="A1" s="19" t="inlineStr">
        <is>
          <t>RISK REGISTER</t>
        </is>
      </c>
      <c r="B1" s="1" t="n"/>
      <c r="C1" s="1" t="n"/>
      <c r="D1" s="1" t="n"/>
      <c r="E1" s="1" t="n"/>
      <c r="F1" s="1" t="n"/>
      <c r="G1" s="1" t="n"/>
      <c r="H1" s="1" t="n"/>
    </row>
    <row r="2" ht="31" customHeight="1">
      <c r="A2" s="20" t="inlineStr">
        <is>
          <t>Owner reviews risks each Monday; every safety incident blocks release until resolved.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 ht="30" customHeight="1">
      <c r="A4" s="25" t="inlineStr">
        <is>
          <t>Risk ID</t>
        </is>
      </c>
      <c r="B4" s="25" t="inlineStr">
        <is>
          <t>Risk</t>
        </is>
      </c>
      <c r="C4" s="25" t="inlineStr">
        <is>
          <t>Likelihood</t>
        </is>
      </c>
      <c r="D4" s="25" t="inlineStr">
        <is>
          <t>Impact</t>
        </is>
      </c>
      <c r="E4" s="25" t="inlineStr">
        <is>
          <t>Mitigation</t>
        </is>
      </c>
      <c r="F4" s="25" t="inlineStr">
        <is>
          <t>Trigger / evidence</t>
        </is>
      </c>
      <c r="G4" s="25" t="inlineStr">
        <is>
          <t>Owner</t>
        </is>
      </c>
      <c r="H4" s="25" t="inlineStr">
        <is>
          <t>Status</t>
        </is>
      </c>
    </row>
    <row r="5" ht="52" customHeight="1">
      <c r="A5" s="50" t="inlineStr">
        <is>
          <t>R1</t>
        </is>
      </c>
      <c r="B5" s="50" t="inlineStr">
        <is>
          <t>Existing tools already solve buyer pain</t>
        </is>
      </c>
      <c r="C5" s="50" t="inlineStr">
        <is>
          <t>High</t>
        </is>
      </c>
      <c r="D5" s="50" t="inlineStr">
        <is>
          <t>High</t>
        </is>
      </c>
      <c r="E5" s="50" t="inlineStr">
        <is>
          <t>Validate unmet gap with real users</t>
        </is>
      </c>
      <c r="F5" s="50" t="inlineStr">
        <is>
          <t>&lt;5 verified pain interviewees</t>
        </is>
      </c>
      <c r="G5" s="50" t="inlineStr">
        <is>
          <t>Founder</t>
        </is>
      </c>
      <c r="H5" s="50" t="inlineStr">
        <is>
          <t>Open</t>
        </is>
      </c>
    </row>
    <row r="6" ht="52" customHeight="1">
      <c r="A6" s="50" t="inlineStr">
        <is>
          <t>R2</t>
        </is>
      </c>
      <c r="B6" s="50" t="inlineStr">
        <is>
          <t>Unexplainable false positives</t>
        </is>
      </c>
      <c r="C6" s="50" t="inlineStr">
        <is>
          <t>Medium</t>
        </is>
      </c>
      <c r="D6" s="50" t="inlineStr">
        <is>
          <t>High</t>
        </is>
      </c>
      <c r="E6" s="50" t="inlineStr">
        <is>
          <t>Explain warnings; fixtures and label confidence</t>
        </is>
      </c>
      <c r="F6" s="50" t="inlineStr">
        <is>
          <t>&gt;20% false warnings on labeled alpha fixtures</t>
        </is>
      </c>
      <c r="G6" s="50" t="inlineStr">
        <is>
          <t>Engineering</t>
        </is>
      </c>
      <c r="H6" s="50" t="inlineStr">
        <is>
          <t>Open</t>
        </is>
      </c>
    </row>
    <row r="7" ht="52" customHeight="1">
      <c r="A7" s="50" t="inlineStr">
        <is>
          <t>R3</t>
        </is>
      </c>
      <c r="B7" s="50" t="inlineStr">
        <is>
          <t>Missed overlap gives false safety</t>
        </is>
      </c>
      <c r="C7" s="50" t="inlineStr">
        <is>
          <t>Medium</t>
        </is>
      </c>
      <c r="D7" s="50" t="inlineStr">
        <is>
          <t>High</t>
        </is>
      </c>
      <c r="E7" s="50" t="inlineStr">
        <is>
          <t>Advisory-only; edge cases; no safety guarantee</t>
        </is>
      </c>
      <c r="F7" s="50" t="inlineStr">
        <is>
          <t>Known overlapping fixture not detected</t>
        </is>
      </c>
      <c r="G7" s="50" t="inlineStr">
        <is>
          <t>Engineering</t>
        </is>
      </c>
      <c r="H7" s="50" t="inlineStr">
        <is>
          <t>Open</t>
        </is>
      </c>
    </row>
    <row r="8" ht="52" customHeight="1">
      <c r="A8" s="50" t="inlineStr">
        <is>
          <t>R4</t>
        </is>
      </c>
      <c r="B8" s="50" t="inlineStr">
        <is>
          <t>Secret leakage / destructive repo ops</t>
        </is>
      </c>
      <c r="C8" s="50" t="inlineStr">
        <is>
          <t>Low</t>
        </is>
      </c>
      <c r="D8" s="50" t="inlineStr">
        <is>
          <t>Critical</t>
        </is>
      </c>
      <c r="E8" s="50" t="inlineStr">
        <is>
          <t>Offline default; explicit writes; secure process execution</t>
        </is>
      </c>
      <c r="F8" s="50" t="inlineStr">
        <is>
          <t>Any unapproved repo write or egress</t>
        </is>
      </c>
      <c r="G8" s="50" t="inlineStr">
        <is>
          <t>Founder</t>
        </is>
      </c>
      <c r="H8" s="50" t="inlineStr">
        <is>
          <t>Open</t>
        </is>
      </c>
    </row>
    <row r="9" ht="52" customHeight="1">
      <c r="A9" s="50" t="inlineStr">
        <is>
          <t>R5</t>
        </is>
      </c>
      <c r="B9" s="50" t="inlineStr">
        <is>
          <t>No reason to pay over free tools</t>
        </is>
      </c>
      <c r="C9" s="50" t="inlineStr">
        <is>
          <t>High</t>
        </is>
      </c>
      <c r="D9" s="50" t="inlineStr">
        <is>
          <t>Medium</t>
        </is>
      </c>
      <c r="E9" s="50" t="inlineStr">
        <is>
          <t>Test differentiated paid feature and support</t>
        </is>
      </c>
      <c r="F9" s="50" t="inlineStr">
        <is>
          <t>No credible paid signals after qualified demos</t>
        </is>
      </c>
      <c r="G9" s="50" t="inlineStr">
        <is>
          <t>Founder</t>
        </is>
      </c>
      <c r="H9" s="50" t="inlineStr">
        <is>
          <t>Open</t>
        </is>
      </c>
    </row>
    <row r="10" ht="52" customHeight="1">
      <c r="A10" s="50" t="inlineStr">
        <is>
          <t>R6</t>
        </is>
      </c>
      <c r="B10" s="50" t="inlineStr">
        <is>
          <t>Too much engineering before demand proof</t>
        </is>
      </c>
      <c r="C10" s="50" t="inlineStr">
        <is>
          <t>Medium</t>
        </is>
      </c>
      <c r="D10" s="50" t="inlineStr">
        <is>
          <t>High</t>
        </is>
      </c>
      <c r="E10" s="50" t="inlineStr">
        <is>
          <t>G1 gate first; cap P0 scope</t>
        </is>
      </c>
      <c r="F10" s="50" t="inlineStr">
        <is>
          <t>UI/backend built before validated gap</t>
        </is>
      </c>
      <c r="G10" s="50" t="inlineStr">
        <is>
          <t>Founder</t>
        </is>
      </c>
      <c r="H10" s="50" t="inlineStr">
        <is>
          <t>Open</t>
        </is>
      </c>
    </row>
    <row r="11" ht="52" customHeight="1">
      <c r="A11" s="50" t="inlineStr">
        <is>
          <t>R7</t>
        </is>
      </c>
      <c r="B11" s="50" t="inlineStr">
        <is>
          <t>Company/third-party license conflicts</t>
        </is>
      </c>
      <c r="C11" s="50" t="inlineStr">
        <is>
          <t>Medium</t>
        </is>
      </c>
      <c r="D11" s="50" t="inlineStr">
        <is>
          <t>High</t>
        </is>
      </c>
      <c r="E11" s="50" t="inlineStr">
        <is>
          <t>Synthetic examples; provenance review</t>
        </is>
      </c>
      <c r="F11" s="50" t="inlineStr">
        <is>
          <t>Unapproved reuse of proprietary material</t>
        </is>
      </c>
      <c r="G11" s="50" t="inlineStr">
        <is>
          <t>Founder</t>
        </is>
      </c>
      <c r="H11" s="50" t="inlineStr">
        <is>
          <t>Mitigated: PolyForm Shield on public repo; Pro private; provenance notes record the MIT window (0 clones)</t>
        </is>
      </c>
    </row>
    <row r="12">
      <c r="A12" s="18" t="inlineStr">
        <is>
          <t>R8</t>
        </is>
      </c>
      <c r="B12" s="18" t="inlineStr">
        <is>
          <t>Radar or Anthropic absorbs the handoff / merge-readiness layer</t>
        </is>
      </c>
      <c r="C12" s="18" t="inlineStr">
        <is>
          <t>Medium</t>
        </is>
      </c>
      <c r="D12" s="18" t="inlineStr">
        <is>
          <t>High</t>
        </is>
      </c>
      <c r="E12" s="18" t="inlineStr">
        <is>
          <t>Own the preflight ownership layer first; integrate with Radar rather than compete if it gains traction</t>
        </is>
      </c>
      <c r="F12" s="18" t="inlineStr">
        <is>
          <t>Radar stars/releases; Anthropic changelog (worktree + TaskCompleted hooks)</t>
        </is>
      </c>
      <c r="G12" s="18" t="inlineStr">
        <is>
          <t>Founder</t>
        </is>
      </c>
      <c r="H12" s="18" t="inlineStr">
        <is>
          <t>Open</t>
        </is>
      </c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</sheetData>
  <mergeCells count="2">
    <mergeCell ref="A2:H2"/>
    <mergeCell ref="A1:H1"/>
  </mergeCells>
  <dataValidations count="1">
    <dataValidation sqref="H5:H40" showDropDown="0" showInputMessage="0" showErrorMessage="0" allowBlank="0" type="list">
      <formula1>"Open,Mitigating,Resolved,Accepted"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27" customWidth="1" min="4" max="4"/>
    <col width="70" customWidth="1" min="5" max="5"/>
    <col width="20" customWidth="1" min="6" max="6"/>
    <col width="45" customWidth="1" min="7" max="7"/>
  </cols>
  <sheetData>
    <row r="1" ht="39" customHeight="1">
      <c r="A1" s="19" t="inlineStr">
        <is>
          <t>DECISION LOG</t>
        </is>
      </c>
      <c r="B1" s="1" t="n"/>
      <c r="C1" s="1" t="n"/>
      <c r="D1" s="1" t="n"/>
      <c r="E1" s="1" t="n"/>
      <c r="F1" s="1" t="n"/>
      <c r="G1" s="1" t="n"/>
    </row>
    <row r="2" ht="31" customHeight="1">
      <c r="A2" s="20" t="inlineStr">
        <is>
          <t>Capture every gate result, product pivot, scope or target change with rationale and evidence.</t>
        </is>
      </c>
      <c r="B2" s="1" t="n"/>
      <c r="C2" s="1" t="n"/>
      <c r="D2" s="1" t="n"/>
      <c r="E2" s="1" t="n"/>
      <c r="F2" s="1" t="n"/>
      <c r="G2" s="1" t="n"/>
    </row>
    <row r="3">
      <c r="A3" s="18" t="n"/>
      <c r="B3" s="18" t="n"/>
      <c r="C3" s="18" t="n"/>
      <c r="D3" s="18" t="n"/>
      <c r="E3" s="18" t="n"/>
      <c r="F3" s="18" t="n"/>
      <c r="G3" s="18" t="n"/>
    </row>
    <row r="4" ht="30" customHeight="1">
      <c r="A4" s="25" t="inlineStr">
        <is>
          <t>Decision ID</t>
        </is>
      </c>
      <c r="B4" s="25" t="inlineStr">
        <is>
          <t>Date</t>
        </is>
      </c>
      <c r="C4" s="25" t="inlineStr">
        <is>
          <t>Gate</t>
        </is>
      </c>
      <c r="D4" s="25" t="inlineStr">
        <is>
          <t>Decision</t>
        </is>
      </c>
      <c r="E4" s="25" t="inlineStr">
        <is>
          <t>Evidence &amp; rationale</t>
        </is>
      </c>
      <c r="F4" s="25" t="inlineStr">
        <is>
          <t>Decision owner</t>
        </is>
      </c>
      <c r="G4" s="25" t="inlineStr">
        <is>
          <t>Next action / due</t>
        </is>
      </c>
    </row>
    <row r="5" ht="36" customHeight="1">
      <c r="A5" s="50" t="inlineStr">
        <is>
          <t>D1</t>
        </is>
      </c>
      <c r="B5" s="50" t="inlineStr">
        <is>
          <t>2026-10-17</t>
        </is>
      </c>
      <c r="C5" s="50" t="inlineStr">
        <is>
          <t>G1</t>
        </is>
      </c>
      <c r="D5" s="50" t="inlineStr">
        <is>
          <t>GO to G2; wedge = task-level path ownership + preflight overlap (P3, P1, P7); handoff/merge-readiness fast-follow</t>
        </is>
      </c>
      <c r="E5" s="50" t="inlineStr">
        <is>
          <t>Desk research: A+B empty across 20 tools; Radar (Oct 2026) already ships test-evidence gate. docs/RESEARCH_G1.md</t>
        </is>
      </c>
      <c r="F5" s="50" t="inlineStr">
        <is>
          <t>Founder</t>
        </is>
      </c>
      <c r="G5" s="50" t="inlineStr">
        <is>
          <t>Start G2 from session-agents mod</t>
        </is>
      </c>
    </row>
    <row r="6" ht="36" customHeight="1">
      <c r="A6" s="50" t="inlineStr">
        <is>
          <t>D2</t>
        </is>
      </c>
      <c r="B6" s="50" t="inlineStr">
        <is>
          <t>2026-10-20</t>
        </is>
      </c>
      <c r="C6" s="50" t="inlineStr">
        <is>
          <t>G1</t>
        </is>
      </c>
      <c r="D6" s="50" t="inlineStr">
        <is>
          <t>Drop the interview round; accept H1 on desk research + founder incidents</t>
        </is>
      </c>
      <c r="E6" s="50" t="inlineStr">
        <is>
          <t>Sourced evidence (41.7% cross-agent conflict rate; 35–69% unverified test claims) and the mod itself was built from founder incidents</t>
        </is>
      </c>
      <c r="F6" s="50" t="inlineStr">
        <is>
          <t>Founder</t>
        </is>
      </c>
      <c r="G6" s="50" t="inlineStr">
        <is>
          <t>Feedback from G3 alpha testers</t>
        </is>
      </c>
    </row>
    <row r="7" ht="36" customHeight="1">
      <c r="A7" s="50" t="inlineStr">
        <is>
          <t>D3</t>
        </is>
      </c>
      <c r="B7" s="50" t="inlineStr">
        <is>
          <t>2026-10-20</t>
        </is>
      </c>
      <c r="C7" s="50" t="inlineStr">
        <is>
          <t>G5</t>
        </is>
      </c>
      <c r="D7" s="50" t="inlineStr">
        <is>
          <t>Pricing: low price, volume ($5–$12 one-time or a few $/month); test two points at G5</t>
        </is>
      </c>
      <c r="E7" s="50" t="inlineStr">
        <is>
          <t>Comparables: SessionWatcher $6.99/$14.99; Vibe Kanban failed at $30/user</t>
        </is>
      </c>
      <c r="F7" s="50" t="inlineStr">
        <is>
          <t>Founder</t>
        </is>
      </c>
      <c r="G7" s="50" t="inlineStr">
        <is>
          <t>Define Pro boundary before G5</t>
        </is>
      </c>
    </row>
    <row r="8" ht="36" customHeight="1">
      <c r="A8" s="50" t="inlineStr">
        <is>
          <t>D4</t>
        </is>
      </c>
      <c r="B8" s="50" t="inlineStr">
        <is>
          <t>2026-10-20</t>
        </is>
      </c>
      <c r="C8" s="50" t="inlineStr">
        <is>
          <t>G2</t>
        </is>
      </c>
      <c r="D8" s="50" t="inlineStr">
        <is>
          <t>Adopt session-agents mod as the interactive surface; CLI and mod share .guardian/tasks.json</t>
        </is>
      </c>
      <c r="E8" s="50" t="inlineStr">
        <is>
          <t>docs/MOD_REVIEW.md; live ownership hold observed 2026-10-20</t>
        </is>
      </c>
      <c r="F8" s="50" t="inlineStr">
        <is>
          <t>Founder</t>
        </is>
      </c>
      <c r="G8" s="50" t="inlineStr">
        <is>
          <t>G2-06..09</t>
        </is>
      </c>
    </row>
    <row r="9" ht="36" customHeight="1">
      <c r="A9" s="50" t="inlineStr">
        <is>
          <t>D5</t>
        </is>
      </c>
      <c r="B9" s="50" t="inlineStr">
        <is>
          <t>2026-10-20</t>
        </is>
      </c>
      <c r="C9" s="50" t="inlineStr">
        <is>
          <t>G2</t>
        </is>
      </c>
      <c r="D9" s="50" t="inlineStr">
        <is>
          <t>G2 closed with evidence; G3–G6 artifacts prepared; G3–G6 exits stay open until real testers, installs and buyers exist</t>
        </is>
      </c>
      <c r="E9" s="50" t="inlineStr">
        <is>
          <t>docs/SAFETY_AUDIT.md, CI, release v0.1.0; MASTER_PLAN §5 pass criteria need external evidence that cannot be produced internally</t>
        </is>
      </c>
      <c r="F9" s="50" t="inlineStr">
        <is>
          <t>Founder</t>
        </is>
      </c>
      <c r="G9" s="50" t="inlineStr">
        <is>
          <t>Send alpha outreach (G3-02); record demo clips (G2-09)</t>
        </is>
      </c>
    </row>
    <row r="10" ht="36" customHeight="1">
      <c r="A10" s="50" t="inlineStr">
        <is>
          <t>D6</t>
        </is>
      </c>
      <c r="B10" s="50" t="inlineStr">
        <is>
          <t>2026-10-20</t>
        </is>
      </c>
      <c r="C10" s="50" t="inlineStr">
        <is>
          <t>G4/G5</t>
        </is>
      </c>
      <c r="D10" s="50" t="inlineStr">
        <is>
          <t>Relicense public repo MIT → PolyForm Shield 1.0.0; paid features in private repo workspace-guardian-pro; drop awesome-claude-code channel</t>
        </is>
      </c>
      <c r="E10" s="50" t="inlineStr">
        <is>
          <t>Founder requirement: nobody may clone the project and offer it as their own. GitHub traffic at change: 0 clones, 0 forks, 0 stars. Shield allows use at work, forbids competing products.</t>
        </is>
      </c>
      <c r="F10" s="50" t="inlineStr">
        <is>
          <t>Founder</t>
        </is>
      </c>
      <c r="G10" s="50" t="inlineStr">
        <is>
          <t>Create pro repo skeleton + license-key design (done 2026-10-20)</t>
        </is>
      </c>
    </row>
    <row r="11" ht="36" customHeight="1">
      <c r="A11" s="50" t="inlineStr">
        <is>
          <t>D7</t>
        </is>
      </c>
      <c r="B11" s="50" t="inlineStr">
        <is>
          <t>2026-10-23</t>
        </is>
      </c>
      <c r="C11" s="50" t="inlineStr">
        <is>
          <t>G5</t>
        </is>
      </c>
      <c r="D11" s="50" t="inlineStr">
        <is>
          <t>Checkout provider: Lemon Squeezy; manual key fulfilment during pilot; webhook signer deferred</t>
        </is>
      </c>
      <c r="E11" s="50" t="inlineStr">
        <is>
          <t>Merchant of record (tax), file delivery, two price variants on one product; 3-buyer pass mark makes manual fulfilment fine</t>
        </is>
      </c>
      <c r="F11" s="50" t="inlineStr">
        <is>
          <t>Founder</t>
        </is>
      </c>
      <c r="G11" s="50" t="inlineStr">
        <is>
          <t>Set up store per docs/CHECKOUT_LEMONSQUEEZY.md; test purchase + refund</t>
        </is>
      </c>
    </row>
    <row r="12" ht="36" customHeight="1">
      <c r="A12" s="50" t="inlineStr">
        <is>
          <t>D8</t>
        </is>
      </c>
      <c r="B12" s="50" t="inlineStr">
        <is>
          <t>2026-10-23</t>
        </is>
      </c>
      <c r="C12" s="50" t="inlineStr">
        <is>
          <t>G5</t>
        </is>
      </c>
      <c r="D12" s="50" t="inlineStr">
        <is>
          <t>Founding price: Pro $1/month for first 30 days or 100 buyers, grandfathered; free core stays free and public</t>
        </is>
      </c>
      <c r="E12" s="50" t="inlineStr">
        <is>
          <t>Paid users are the feedback cohort; no marketplace can sell a Claude Code mod; directory lists free plugins only; Lemon Squeezy nets ~$0.45/$1</t>
        </is>
      </c>
      <c r="F12" s="50" t="inlineStr">
        <is>
          <t>Founder</t>
        </is>
      </c>
      <c r="G12" s="50" t="inlineStr">
        <is>
          <t>Create store with variant F; launch posts carry the founding line</t>
        </is>
      </c>
    </row>
    <row r="13" ht="36" customHeight="1">
      <c r="A13" s="50" t="inlineStr">
        <is>
          <t>D9</t>
        </is>
      </c>
      <c r="B13" s="50" t="inlineStr">
        <is>
          <t>2026-10-23</t>
        </is>
      </c>
      <c r="C13" s="50" t="inlineStr">
        <is>
          <t>G4/G5</t>
        </is>
      </c>
      <c r="D13" s="50" t="inlineStr">
        <is>
          <t>Sell only via Lemon Squeezy; list a free SKILL.md wrapper on Agensi.io after launch (discovery for Cursor/Codex users), never Pro</t>
        </is>
      </c>
      <c r="E13" s="50" t="inlineStr">
        <is>
          <t>Agensi sells SKILL.md files only, via its own MCP connector, 30% fee; numbers self-reported; our Pro is a package + key</t>
        </is>
      </c>
      <c r="F13" s="50" t="inlineStr">
        <is>
          <t>Founder</t>
        </is>
      </c>
      <c r="G13" s="50" t="inlineStr">
        <is>
          <t>Add backlog G4-04 after launch</t>
        </is>
      </c>
    </row>
    <row r="14" ht="36" customHeight="1">
      <c r="A14" s="50" t="n"/>
      <c r="B14" s="50" t="n"/>
      <c r="C14" s="50" t="n"/>
      <c r="D14" s="50" t="n"/>
      <c r="E14" s="50" t="n"/>
      <c r="F14" s="50" t="n"/>
      <c r="G14" s="50" t="n"/>
    </row>
    <row r="15" ht="36" customHeight="1">
      <c r="A15" s="50" t="n"/>
      <c r="B15" s="50" t="n"/>
      <c r="C15" s="50" t="n"/>
      <c r="D15" s="50" t="n"/>
      <c r="E15" s="50" t="n"/>
      <c r="F15" s="50" t="n"/>
      <c r="G15" s="50" t="n"/>
    </row>
    <row r="16" ht="36" customHeight="1">
      <c r="A16" s="50" t="n"/>
      <c r="B16" s="50" t="n"/>
      <c r="C16" s="50" t="n"/>
      <c r="D16" s="50" t="n"/>
      <c r="E16" s="50" t="n"/>
      <c r="F16" s="50" t="n"/>
      <c r="G16" s="50" t="n"/>
    </row>
    <row r="17" ht="36" customHeight="1">
      <c r="A17" s="50" t="n"/>
      <c r="B17" s="50" t="n"/>
      <c r="C17" s="50" t="n"/>
      <c r="D17" s="50" t="n"/>
      <c r="E17" s="50" t="n"/>
      <c r="F17" s="50" t="n"/>
      <c r="G17" s="50" t="n"/>
    </row>
    <row r="18" ht="36" customHeight="1">
      <c r="A18" s="50" t="n"/>
      <c r="B18" s="50" t="n"/>
      <c r="C18" s="50" t="n"/>
      <c r="D18" s="50" t="n"/>
      <c r="E18" s="50" t="n"/>
      <c r="F18" s="50" t="n"/>
      <c r="G18" s="50" t="n"/>
    </row>
    <row r="19" ht="36" customHeight="1">
      <c r="A19" s="50" t="n"/>
      <c r="B19" s="50" t="n"/>
      <c r="C19" s="50" t="n"/>
      <c r="D19" s="50" t="n"/>
      <c r="E19" s="50" t="n"/>
      <c r="F19" s="50" t="n"/>
      <c r="G19" s="50" t="n"/>
    </row>
    <row r="20" ht="36" customHeight="1">
      <c r="A20" s="50" t="n"/>
      <c r="B20" s="50" t="n"/>
      <c r="C20" s="50" t="n"/>
      <c r="D20" s="50" t="n"/>
      <c r="E20" s="50" t="n"/>
      <c r="F20" s="50" t="n"/>
      <c r="G20" s="50" t="n"/>
    </row>
    <row r="21" ht="36" customHeight="1">
      <c r="A21" s="50" t="n"/>
      <c r="B21" s="50" t="n"/>
      <c r="C21" s="50" t="n"/>
      <c r="D21" s="50" t="n"/>
      <c r="E21" s="50" t="n"/>
      <c r="F21" s="50" t="n"/>
      <c r="G21" s="50" t="n"/>
    </row>
    <row r="22" ht="36" customHeight="1">
      <c r="A22" s="50" t="n"/>
      <c r="B22" s="50" t="n"/>
      <c r="C22" s="50" t="n"/>
      <c r="D22" s="50" t="n"/>
      <c r="E22" s="50" t="n"/>
      <c r="F22" s="50" t="n"/>
      <c r="G22" s="50" t="n"/>
    </row>
    <row r="23" ht="36" customHeight="1">
      <c r="A23" s="50" t="n"/>
      <c r="B23" s="50" t="n"/>
      <c r="C23" s="50" t="n"/>
      <c r="D23" s="50" t="n"/>
      <c r="E23" s="50" t="n"/>
      <c r="F23" s="50" t="n"/>
      <c r="G23" s="50" t="n"/>
    </row>
    <row r="24" ht="36" customHeight="1">
      <c r="A24" s="50" t="n"/>
      <c r="B24" s="50" t="n"/>
      <c r="C24" s="50" t="n"/>
      <c r="D24" s="50" t="n"/>
      <c r="E24" s="50" t="n"/>
      <c r="F24" s="50" t="n"/>
      <c r="G24" s="50" t="n"/>
    </row>
    <row r="25" ht="36" customHeight="1">
      <c r="A25" s="50" t="n"/>
      <c r="B25" s="50" t="n"/>
      <c r="C25" s="50" t="n"/>
      <c r="D25" s="50" t="n"/>
      <c r="E25" s="50" t="n"/>
      <c r="F25" s="50" t="n"/>
      <c r="G25" s="50" t="n"/>
    </row>
    <row r="26" ht="36" customHeight="1">
      <c r="A26" s="50" t="n"/>
      <c r="B26" s="50" t="n"/>
      <c r="C26" s="50" t="n"/>
      <c r="D26" s="50" t="n"/>
      <c r="E26" s="50" t="n"/>
      <c r="F26" s="50" t="n"/>
      <c r="G26" s="50" t="n"/>
    </row>
    <row r="27" ht="36" customHeight="1">
      <c r="A27" s="50" t="n"/>
      <c r="B27" s="50" t="n"/>
      <c r="C27" s="50" t="n"/>
      <c r="D27" s="50" t="n"/>
      <c r="E27" s="50" t="n"/>
      <c r="F27" s="50" t="n"/>
      <c r="G27" s="50" t="n"/>
    </row>
    <row r="28" ht="36" customHeight="1">
      <c r="A28" s="50" t="n"/>
      <c r="B28" s="50" t="n"/>
      <c r="C28" s="50" t="n"/>
      <c r="D28" s="50" t="n"/>
      <c r="E28" s="50" t="n"/>
      <c r="F28" s="50" t="n"/>
      <c r="G28" s="50" t="n"/>
    </row>
    <row r="29" ht="36" customHeight="1">
      <c r="A29" s="50" t="n"/>
      <c r="B29" s="50" t="n"/>
      <c r="C29" s="50" t="n"/>
      <c r="D29" s="50" t="n"/>
      <c r="E29" s="50" t="n"/>
      <c r="F29" s="50" t="n"/>
      <c r="G29" s="50" t="n"/>
    </row>
    <row r="30">
      <c r="A30" s="18" t="n"/>
      <c r="B30" s="18" t="n"/>
      <c r="C30" s="18" t="n"/>
      <c r="D30" s="18" t="n"/>
      <c r="E30" s="18" t="n"/>
      <c r="F30" s="18" t="n"/>
      <c r="G30" s="18" t="n"/>
    </row>
    <row r="31">
      <c r="A31" s="18" t="n"/>
      <c r="B31" s="18" t="n"/>
      <c r="C31" s="18" t="n"/>
      <c r="D31" s="18" t="n"/>
      <c r="E31" s="18" t="n"/>
      <c r="F31" s="18" t="n"/>
      <c r="G31" s="18" t="n"/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5" customWidth="1" min="1" max="1"/>
    <col width="25" customWidth="1" min="2" max="2"/>
    <col width="26" customWidth="1" min="3" max="3"/>
    <col width="22" customWidth="1" min="4" max="4"/>
    <col width="24" customWidth="1" min="5" max="5"/>
    <col width="24" customWidth="1" min="6" max="6"/>
    <col width="67" customWidth="1" min="7" max="7"/>
    <col width="48" customWidth="1" min="8" max="8"/>
  </cols>
  <sheetData>
    <row r="1" ht="39" customHeight="1">
      <c r="A1" s="19" t="inlineStr">
        <is>
          <t>COMPETITOR MATRIX</t>
        </is>
      </c>
      <c r="B1" s="1" t="n"/>
      <c r="C1" s="1" t="n"/>
      <c r="D1" s="1" t="n"/>
      <c r="E1" s="1" t="n"/>
      <c r="F1" s="1" t="n"/>
      <c r="G1" s="1" t="n"/>
      <c r="H1" s="1" t="n"/>
    </row>
    <row r="2" ht="31" customHeight="1">
      <c r="A2" s="20" t="inlineStr">
        <is>
          <t>Initial evidence-based seed list. Expand to 10+ verified direct/adjacent competitors during G1.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 ht="30" customHeight="1">
      <c r="A4" s="25" t="inlineStr">
        <is>
          <t>Product</t>
        </is>
      </c>
      <c r="B4" s="25" t="inlineStr">
        <is>
          <t>Type</t>
        </is>
      </c>
      <c r="C4" s="25" t="inlineStr">
        <is>
          <t>Native parallel sessions</t>
        </is>
      </c>
      <c r="D4" s="25" t="inlineStr">
        <is>
          <t>Overlap preflight</t>
        </is>
      </c>
      <c r="E4" s="25" t="inlineStr">
        <is>
          <t>Evidence handoff</t>
        </is>
      </c>
      <c r="F4" s="25" t="inlineStr">
        <is>
          <t>Pricing / license</t>
        </is>
      </c>
      <c r="G4" s="25" t="inlineStr">
        <is>
          <t>Evidence link</t>
        </is>
      </c>
      <c r="H4" s="25" t="inlineStr">
        <is>
          <t>Gap to verify</t>
        </is>
      </c>
    </row>
    <row r="5" ht="45" customHeight="1">
      <c r="A5" s="50" t="inlineStr">
        <is>
          <t>Claude Code native</t>
        </is>
      </c>
      <c r="B5" s="50" t="inlineStr">
        <is>
          <t>First-party CLI</t>
        </is>
      </c>
      <c r="C5" s="50" t="inlineStr">
        <is>
          <t>Yes (worktrees, teams)</t>
        </is>
      </c>
      <c r="D5" s="50" t="inlineStr">
        <is>
          <t>Research</t>
        </is>
      </c>
      <c r="E5" s="50" t="inlineStr">
        <is>
          <t>Research</t>
        </is>
      </c>
      <c r="F5" s="50" t="inlineStr">
        <is>
          <t>Depends on Claude plan</t>
        </is>
      </c>
      <c r="G5" s="50" t="inlineStr">
        <is>
          <t>https://support.claude.com/en/articles/14554000-claude-code-power-user-tips</t>
        </is>
      </c>
      <c r="H5" s="50" t="inlineStr">
        <is>
          <t>How independent sessions share task claims</t>
        </is>
      </c>
    </row>
    <row r="6" ht="45" customHeight="1">
      <c r="A6" s="50" t="inlineStr">
        <is>
          <t>Conductor</t>
        </is>
      </c>
      <c r="B6" s="50" t="inlineStr">
        <is>
          <t>GUI workspace manager</t>
        </is>
      </c>
      <c r="C6" s="50" t="inlineStr">
        <is>
          <t>Yes</t>
        </is>
      </c>
      <c r="D6" s="50" t="inlineStr">
        <is>
          <t>Research</t>
        </is>
      </c>
      <c r="E6" s="50" t="inlineStr">
        <is>
          <t>Workspace notes + checks</t>
        </is>
      </c>
      <c r="F6" s="50" t="inlineStr">
        <is>
          <t>Verify current plan</t>
        </is>
      </c>
      <c r="G6" s="50" t="inlineStr">
        <is>
          <t>https://www.conductor.build/docs/guides/parallel-agents/run-multiple-claude-code-sessions</t>
        </is>
      </c>
      <c r="H6" s="50" t="inlineStr">
        <is>
          <t>Pre-branch task scope vs post-change diff</t>
        </is>
      </c>
    </row>
    <row r="7" ht="45" customHeight="1">
      <c r="A7" s="50" t="inlineStr">
        <is>
          <t>Claude Squad</t>
        </is>
      </c>
      <c r="B7" s="50" t="inlineStr">
        <is>
          <t>TUI session manager</t>
        </is>
      </c>
      <c r="C7" s="50" t="inlineStr">
        <is>
          <t>Yes (tmux/worktrees)</t>
        </is>
      </c>
      <c r="D7" s="50" t="inlineStr">
        <is>
          <t>Research</t>
        </is>
      </c>
      <c r="E7" s="50" t="inlineStr">
        <is>
          <t>Research</t>
        </is>
      </c>
      <c r="F7" s="50" t="inlineStr">
        <is>
          <t>AGPL-3.0 repo license</t>
        </is>
      </c>
      <c r="G7" s="50" t="inlineStr">
        <is>
          <t>https://github.com/smtg-ai/claude-squad</t>
        </is>
      </c>
      <c r="H7" s="50" t="inlineStr">
        <is>
          <t>Structured collision prevention vs session status</t>
        </is>
      </c>
    </row>
    <row r="8" ht="45" customHeight="1">
      <c r="A8" s="50" t="inlineStr">
        <is>
          <t>Vibe Kanban</t>
        </is>
      </c>
      <c r="B8" s="50" t="inlineStr">
        <is>
          <t>Agent Kanban/workspaces</t>
        </is>
      </c>
      <c r="C8" s="50" t="inlineStr">
        <is>
          <t>Yes</t>
        </is>
      </c>
      <c r="D8" s="50" t="inlineStr">
        <is>
          <t>Research</t>
        </is>
      </c>
      <c r="E8" s="50" t="inlineStr">
        <is>
          <t>Diff review</t>
        </is>
      </c>
      <c r="F8" s="50" t="inlineStr">
        <is>
          <t>Project sunsetting</t>
        </is>
      </c>
      <c r="G8" s="50" t="inlineStr">
        <is>
          <t>https://vibekanban.com/</t>
        </is>
      </c>
      <c r="H8" s="50" t="inlineStr">
        <is>
          <t>Community fork, maintenance and feature overlap</t>
        </is>
      </c>
    </row>
    <row r="9" ht="45" customHeight="1">
      <c r="A9" s="50" t="inlineStr">
        <is>
          <t>worktrunk (wt)</t>
        </is>
      </c>
      <c r="B9" s="50" t="inlineStr">
        <is>
          <t>Worktree CLI for agents</t>
        </is>
      </c>
      <c r="C9" s="50" t="inlineStr">
        <is>
          <t>Yes (worktrees)</t>
        </is>
      </c>
      <c r="D9" s="50" t="inlineStr">
        <is>
          <t>No</t>
        </is>
      </c>
      <c r="E9" s="50" t="inlineStr">
        <is>
          <t>No (merge-tree conflict flag only)</t>
        </is>
      </c>
      <c r="F9" s="50" t="inlineStr">
        <is>
          <t>Free, MIT/Apache; v0.80 Sep 2026</t>
        </is>
      </c>
      <c r="G9" s="50" t="inlineStr">
        <is>
          <t>https://worktrunk.dev/list/</t>
        </is>
      </c>
      <c r="H9" s="50" t="inlineStr">
        <is>
          <t>merges itself; Guardian report as pre-merge hook</t>
        </is>
      </c>
    </row>
    <row r="10" ht="45" customHeight="1">
      <c r="A10" s="50" t="inlineStr">
        <is>
          <t>Radar</t>
        </is>
      </c>
      <c r="B10" s="50" t="inlineStr">
        <is>
          <t>Local merge gate + MCP</t>
        </is>
      </c>
      <c r="C10" s="50" t="inlineStr">
        <is>
          <t>n/a</t>
        </is>
      </c>
      <c r="D10" s="50" t="inlineStr">
        <is>
          <t>Partial (post-hoc drift)</t>
        </is>
      </c>
      <c r="E10" s="50" t="inlineStr">
        <is>
          <t>Yes: PASS/FAIL/NOT VERIFIED, Radar-Verified trailer</t>
        </is>
      </c>
      <c r="F10" s="50" t="inlineStr">
        <is>
          <t>Free, MIT; created 2026-10-09, 2 stars</t>
        </is>
      </c>
      <c r="G10" s="50" t="inlineStr">
        <is>
          <t>https://github.com/Jake-Network/radar</t>
        </is>
      </c>
      <c r="H10" s="50" t="inlineStr">
        <is>
          <t>closest on C/D; no path ownership</t>
        </is>
      </c>
    </row>
    <row r="11" ht="45" customHeight="1">
      <c r="A11" s="50" t="inlineStr">
        <is>
          <t>Superset (YC)</t>
        </is>
      </c>
      <c r="B11" s="50" t="inlineStr">
        <is>
          <t>Agent IDE</t>
        </is>
      </c>
      <c r="C11" s="50" t="inlineStr">
        <is>
          <t>Yes</t>
        </is>
      </c>
      <c r="D11" s="50" t="inlineStr">
        <is>
          <t>No (states worktrees do not prevent conflicts)</t>
        </is>
      </c>
      <c r="E11" s="50" t="inlineStr">
        <is>
          <t>No</t>
        </is>
      </c>
      <c r="F11" s="50" t="inlineStr">
        <is>
          <t>Free; Pro $20/user/mo</t>
        </is>
      </c>
      <c r="G11" s="50" t="inlineStr">
        <is>
          <t>https://superset.sh/pricing</t>
        </is>
      </c>
      <c r="H11" s="50" t="inlineStr">
        <is>
          <t>needs-rebase marker only</t>
        </is>
      </c>
    </row>
    <row r="12" ht="45" customHeight="1">
      <c r="A12" s="50" t="inlineStr">
        <is>
          <t>Crystal → Nimbalyst</t>
        </is>
      </c>
      <c r="B12" s="50" t="inlineStr">
        <is>
          <t>Desktop session manager</t>
        </is>
      </c>
      <c r="C12" s="50" t="inlineStr">
        <is>
          <t>Yes</t>
        </is>
      </c>
      <c r="D12" s="50" t="inlineStr">
        <is>
          <t>No</t>
        </is>
      </c>
      <c r="E12" s="50" t="inlineStr">
        <is>
          <t>No</t>
        </is>
      </c>
      <c r="F12" s="50" t="inlineStr">
        <is>
          <t>MIT; Teams $20/user</t>
        </is>
      </c>
      <c r="G12" s="50" t="inlineStr">
        <is>
          <t>https://nimbalyst.com</t>
        </is>
      </c>
      <c r="H12" s="50" t="inlineStr">
        <is>
          <t>isolation only</t>
        </is>
      </c>
    </row>
    <row r="13" ht="45" customHeight="1">
      <c r="A13" s="50" t="inlineStr">
        <is>
          <t>ccmanager</t>
        </is>
      </c>
      <c r="B13" s="50" t="inlineStr">
        <is>
          <t>TUI session manager</t>
        </is>
      </c>
      <c r="C13" s="50" t="inlineStr">
        <is>
          <t>Yes</t>
        </is>
      </c>
      <c r="D13" s="50" t="inlineStr">
        <is>
          <t>No</t>
        </is>
      </c>
      <c r="E13" s="50" t="inlineStr">
        <is>
          <t>No</t>
        </is>
      </c>
      <c r="F13" s="50" t="inlineStr">
        <is>
          <t>Free, MIT; v4.4.8 Oct 2026</t>
        </is>
      </c>
      <c r="G13" s="50" t="inlineStr">
        <is>
          <t>https://github.com/kbwo/ccmanager</t>
        </is>
      </c>
      <c r="H13" s="50" t="inlineStr">
        <is>
          <t>copies session data between worktrees</t>
        </is>
      </c>
    </row>
    <row r="14" ht="45" customHeight="1">
      <c r="A14" s="50" t="inlineStr">
        <is>
          <t>agent-of-empires</t>
        </is>
      </c>
      <c r="B14" s="50" t="inlineStr">
        <is>
          <t>Rust tmux manager</t>
        </is>
      </c>
      <c r="C14" s="50" t="inlineStr">
        <is>
          <t>Yes</t>
        </is>
      </c>
      <c r="D14" s="50" t="inlineStr">
        <is>
          <t>No</t>
        </is>
      </c>
      <c r="E14" s="50" t="inlineStr">
        <is>
          <t>No</t>
        </is>
      </c>
      <c r="F14" s="50" t="inlineStr">
        <is>
          <t>Free, MIT; v1.20 Oct 2026</t>
        </is>
      </c>
      <c r="G14" s="50" t="inlineStr">
        <is>
          <t>https://github.com/agent-of-empires/agent-of-empires</t>
        </is>
      </c>
      <c r="H14" s="50" t="inlineStr">
        <is>
          <t>diff view only</t>
        </is>
      </c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</sheetData>
  <mergeCells count="2">
    <mergeCell ref="A2:H2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9" customWidth="1" min="1" max="1"/>
    <col width="68" customWidth="1" min="2" max="2"/>
    <col width="62" customWidth="1" min="3" max="3"/>
  </cols>
  <sheetData>
    <row r="1" ht="39" customHeight="1">
      <c r="A1" s="19" t="inlineStr">
        <is>
          <t>METRICS &amp; CONTROL DEFINITIONS</t>
        </is>
      </c>
      <c r="B1" s="1" t="n"/>
      <c r="C1" s="1" t="n"/>
    </row>
    <row r="2" ht="31" customHeight="1">
      <c r="A2" s="20" t="inlineStr">
        <is>
          <t>Use the same definitions in every weekly review. These rules prevent inflated numbers.</t>
        </is>
      </c>
      <c r="B2" s="1" t="n"/>
      <c r="C2" s="1" t="n"/>
    </row>
    <row r="3">
      <c r="A3" s="18" t="n"/>
      <c r="B3" s="18" t="n"/>
      <c r="C3" s="18" t="n"/>
    </row>
    <row r="4" ht="30" customHeight="1">
      <c r="A4" s="25" t="inlineStr">
        <is>
          <t>Term</t>
        </is>
      </c>
      <c r="B4" s="25" t="inlineStr">
        <is>
          <t>Exact meaning</t>
        </is>
      </c>
      <c r="C4" s="25" t="inlineStr">
        <is>
          <t>Data entry instructions</t>
        </is>
      </c>
    </row>
    <row r="5" ht="43" customHeight="1">
      <c r="A5" s="50" t="inlineStr">
        <is>
          <t>Qualified interview</t>
        </is>
      </c>
      <c r="B5" s="50" t="inlineStr">
        <is>
          <t>Used 2+ AI coding sessions in one repo within past month, completed interview</t>
        </is>
      </c>
      <c r="C5" s="50" t="inlineStr">
        <is>
          <t>Interview Log D = Yes</t>
        </is>
      </c>
    </row>
    <row r="6" ht="43" customHeight="1">
      <c r="A6" s="50" t="inlineStr">
        <is>
          <t>Recent verified pain</t>
        </is>
      </c>
      <c r="B6" s="50" t="inlineStr">
        <is>
          <t>Qualified user describes a real incident in last 30 days</t>
        </is>
      </c>
      <c r="C6" s="50" t="inlineStr">
        <is>
          <t>Interview Log E = Yes + sanitized notes</t>
        </is>
      </c>
    </row>
    <row r="7" ht="43" customHeight="1">
      <c r="A7" s="50" t="inlineStr">
        <is>
          <t>Alpha completion</t>
        </is>
      </c>
      <c r="B7" s="50" t="inlineStr">
        <is>
          <t>Finished four-step scenario with no operator takeover</t>
        </is>
      </c>
      <c r="C7" s="50" t="inlineStr">
        <is>
          <t>Alpha Testers E = Yes</t>
        </is>
      </c>
    </row>
    <row r="8" ht="43" customHeight="1">
      <c r="A8" s="50" t="inlineStr">
        <is>
          <t>Verified new install</t>
        </is>
      </c>
      <c r="B8" s="50" t="inlineStr">
        <is>
          <t>Distinct new installer confirmed; not downloads or GitHub stars</t>
        </is>
      </c>
      <c r="C8" s="50" t="inlineStr">
        <is>
          <t>Weekly Metrics F; deduplicate across weeks</t>
        </is>
      </c>
    </row>
    <row r="9" ht="43" customHeight="1">
      <c r="A9" s="50" t="inlineStr">
        <is>
          <t>New activation</t>
        </is>
      </c>
      <c r="B9" s="50" t="inlineStr">
        <is>
          <t>New user generated a meaningful risk report</t>
        </is>
      </c>
      <c r="C9" s="50" t="inlineStr">
        <is>
          <t>Weekly Metrics G; count each user once</t>
        </is>
      </c>
    </row>
    <row r="10" ht="43" customHeight="1">
      <c r="A10" s="50" t="inlineStr">
        <is>
          <t>New repeat user</t>
        </is>
      </c>
      <c r="B10" s="50" t="inlineStr">
        <is>
          <t>Distinct activated user returns in another session/day</t>
        </is>
      </c>
      <c r="C10" s="50" t="inlineStr">
        <is>
          <t>Weekly Metrics H; first repeat only</t>
        </is>
      </c>
    </row>
    <row r="11" ht="43" customHeight="1">
      <c r="A11" s="50" t="inlineStr">
        <is>
          <t>New paying customer</t>
        </is>
      </c>
      <c r="B11" s="50" t="inlineStr">
        <is>
          <t>Distinct non-refunded real paying customer</t>
        </is>
      </c>
      <c r="C11" s="50" t="inlineStr">
        <is>
          <t>Weekly Metrics I; remove refunded sale from count</t>
        </is>
      </c>
    </row>
    <row r="12" ht="43" customHeight="1">
      <c r="A12" s="50" t="inlineStr">
        <is>
          <t>Gross USD</t>
        </is>
      </c>
      <c r="B12" s="50" t="inlineStr">
        <is>
          <t>Collected sales before fees/refunds</t>
        </is>
      </c>
      <c r="C12" s="50" t="inlineStr">
        <is>
          <t>Weekly Metrics J</t>
        </is>
      </c>
    </row>
    <row r="13" ht="43" customHeight="1">
      <c r="A13" s="50" t="inlineStr">
        <is>
          <t>Net receipts</t>
        </is>
      </c>
      <c r="B13" s="50" t="inlineStr">
        <is>
          <t>Gross minus refunds and payment processor fees, not profit</t>
        </is>
      </c>
      <c r="C13" s="50" t="inlineStr">
        <is>
          <t>Weekly Metrics J minus K minus L</t>
        </is>
      </c>
    </row>
    <row r="14" ht="43" customHeight="1">
      <c r="A14" s="50" t="inlineStr">
        <is>
          <t>Critical safety incident</t>
        </is>
      </c>
      <c r="B14" s="50" t="inlineStr">
        <is>
          <t>Destructive unapproved change, secret disclosure, or unsafe command execution</t>
        </is>
      </c>
      <c r="C14" s="50" t="inlineStr">
        <is>
          <t>Weekly Metrics M; any value &gt;0 blocks rollout</t>
        </is>
      </c>
    </row>
    <row r="15" ht="43" customHeight="1">
      <c r="A15" s="50" t="inlineStr">
        <is>
          <t>Gate pass</t>
        </is>
      </c>
      <c r="B15" s="50" t="inlineStr">
        <is>
          <t>Owner explicitly checks deliverables and evidence</t>
        </is>
      </c>
      <c r="C15" s="50" t="inlineStr">
        <is>
          <t>Milestones F = Passed only after review</t>
        </is>
      </c>
    </row>
    <row r="16" ht="43" customHeight="1">
      <c r="A16" s="50" t="inlineStr">
        <is>
          <t>Not started vs zero</t>
        </is>
      </c>
      <c r="B16" s="50" t="inlineStr">
        <is>
          <t>Blank metrics indicate missing report; zero = observed zero</t>
        </is>
      </c>
      <c r="C16" s="50" t="inlineStr">
        <is>
          <t>Do not prefill zeros for future weeks</t>
        </is>
      </c>
    </row>
    <row r="17" ht="43" customHeight="1">
      <c r="A17" s="50" t="inlineStr">
        <is>
          <t>Weekly cadence</t>
        </is>
      </c>
      <c r="B17" s="50" t="inlineStr">
        <is>
          <t>Monday plan; Friday review and decision log</t>
        </is>
      </c>
      <c r="C17" s="50" t="inlineStr">
        <is>
          <t>Update sheet data with linked evidence</t>
        </is>
      </c>
    </row>
    <row r="18" ht="43" customHeight="1">
      <c r="A18" s="50" t="inlineStr">
        <is>
          <t>Working assumptions</t>
        </is>
      </c>
      <c r="B18" s="50" t="inlineStr">
        <is>
          <t>Targets are business validation hypotheses</t>
        </is>
      </c>
      <c r="C18" s="50" t="inlineStr">
        <is>
          <t>Revisions must be logged in Decision Log</t>
        </is>
      </c>
    </row>
    <row r="19">
      <c r="A19" s="18" t="n"/>
      <c r="B19" s="18" t="n"/>
      <c r="C19" s="18" t="n"/>
    </row>
    <row r="20">
      <c r="A20" s="18" t="n"/>
      <c r="B20" s="18" t="n"/>
      <c r="C20" s="18" t="n"/>
    </row>
    <row r="21">
      <c r="A21" s="18" t="n"/>
      <c r="B21" s="18" t="n"/>
      <c r="C21" s="18" t="n"/>
    </row>
    <row r="22">
      <c r="A22" s="18" t="n"/>
      <c r="B22" s="18" t="n"/>
      <c r="C22" s="18" t="n"/>
    </row>
    <row r="23">
      <c r="A23" s="18" t="n"/>
      <c r="B23" s="18" t="n"/>
      <c r="C23" s="18" t="n"/>
    </row>
    <row r="24">
      <c r="A24" s="18" t="n"/>
      <c r="B24" s="18" t="n"/>
      <c r="C24" s="18" t="n"/>
    </row>
    <row r="25">
      <c r="A25" s="18" t="n"/>
      <c r="B25" s="18" t="n"/>
      <c r="C25" s="18" t="n"/>
    </row>
    <row r="26">
      <c r="A26" s="18" t="n"/>
      <c r="B26" s="18" t="n"/>
      <c r="C26" s="18" t="n"/>
    </row>
    <row r="27">
      <c r="A27" s="18" t="n"/>
      <c r="B27" s="18" t="n"/>
      <c r="C27" s="18" t="n"/>
    </row>
    <row r="28">
      <c r="A28" s="18" t="n"/>
      <c r="B28" s="18" t="n"/>
      <c r="C28" s="18" t="n"/>
    </row>
    <row r="29">
      <c r="A29" s="18" t="n"/>
      <c r="B29" s="18" t="n"/>
      <c r="C29" s="18" t="n"/>
    </row>
    <row r="30">
      <c r="A30" s="18" t="n"/>
      <c r="B30" s="18" t="n"/>
      <c r="C30" s="18" t="n"/>
    </row>
    <row r="31">
      <c r="A31" s="18" t="n"/>
      <c r="B31" s="18" t="n"/>
      <c r="C31" s="18" t="n"/>
    </row>
    <row r="32">
      <c r="A32" s="18" t="n"/>
      <c r="B32" s="18" t="n"/>
      <c r="C32" s="18" t="n"/>
    </row>
    <row r="33">
      <c r="A33" s="18" t="n"/>
      <c r="B33" s="18" t="n"/>
      <c r="C33" s="18" t="n"/>
    </row>
    <row r="34">
      <c r="A34" s="18" t="n"/>
      <c r="B34" s="18" t="n"/>
      <c r="C34" s="18" t="n"/>
    </row>
    <row r="35">
      <c r="A35" s="18" t="n"/>
      <c r="B35" s="18" t="n"/>
      <c r="C35" s="18" t="n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2026-10-20T07:44:19Z</dcterms:created>
  <dcterms:modified xsi:type="dcterms:W3CDTF">2026-10-23T08:24:21Z</dcterms:modified>
</cp:coreProperties>
</file>